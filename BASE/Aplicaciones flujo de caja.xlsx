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Docencia\UNI\BEG06 New\Capitulo 6 Flujo de caja\"/>
    </mc:Choice>
  </mc:AlternateContent>
  <xr:revisionPtr revIDLastSave="0" documentId="13_ncr:1_{B7581CB5-B170-4A87-BBB8-F714647EC4E2}" xr6:coauthVersionLast="47" xr6:coauthVersionMax="47" xr10:uidLastSave="{00000000-0000-0000-0000-000000000000}"/>
  <bookViews>
    <workbookView xWindow="-110" yWindow="-110" windowWidth="19420" windowHeight="10420" firstSheet="1" activeTab="5" xr2:uid="{A8EDDB83-B135-4601-8446-3B3F3C8C912D}"/>
  </bookViews>
  <sheets>
    <sheet name="Localizacion" sheetId="1" r:id="rId1"/>
    <sheet name="Tamaño" sheetId="2" r:id="rId2"/>
    <sheet name="Depreciacion optima" sheetId="3" r:id="rId3"/>
    <sheet name="Enunciado flujo" sheetId="6" r:id="rId4"/>
    <sheet name="Economico" sheetId="7" r:id="rId5"/>
    <sheet name="Financiero" sheetId="8" r:id="rId6"/>
  </sheets>
  <externalReferences>
    <externalReference r:id="rId7"/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8" l="1"/>
  <c r="K35" i="8"/>
  <c r="J35" i="8"/>
  <c r="I35" i="8"/>
  <c r="H35" i="8"/>
  <c r="G35" i="8"/>
  <c r="J33" i="8"/>
  <c r="I33" i="8"/>
  <c r="H33" i="8"/>
  <c r="G33" i="8"/>
  <c r="F33" i="8"/>
  <c r="AA14" i="8" s="1"/>
  <c r="AA15" i="8" s="1"/>
  <c r="AA16" i="8" s="1"/>
  <c r="F32" i="8"/>
  <c r="U14" i="8" s="1"/>
  <c r="F31" i="8"/>
  <c r="F30" i="8" s="1"/>
  <c r="F26" i="8"/>
  <c r="Y31" i="8" s="1"/>
  <c r="F25" i="8"/>
  <c r="T31" i="8" s="1"/>
  <c r="F24" i="8"/>
  <c r="O31" i="8" s="1"/>
  <c r="AB12" i="8"/>
  <c r="V12" i="8"/>
  <c r="P12" i="8"/>
  <c r="T6" i="8"/>
  <c r="B7" i="8" s="1"/>
  <c r="B8" i="8" s="1"/>
  <c r="B6" i="8"/>
  <c r="B5" i="8"/>
  <c r="B4" i="8"/>
  <c r="S48" i="7"/>
  <c r="M48" i="7"/>
  <c r="L30" i="7"/>
  <c r="K30" i="7"/>
  <c r="J30" i="7"/>
  <c r="I30" i="7"/>
  <c r="H30" i="7"/>
  <c r="G27" i="7"/>
  <c r="Y26" i="7" s="1"/>
  <c r="L10" i="7"/>
  <c r="C6" i="7"/>
  <c r="G25" i="7" s="1"/>
  <c r="U5" i="7"/>
  <c r="C7" i="7" s="1"/>
  <c r="C8" i="7" s="1"/>
  <c r="C5" i="7"/>
  <c r="C3" i="7"/>
  <c r="C4" i="7" s="1"/>
  <c r="AB17" i="8" l="1"/>
  <c r="AA17" i="8"/>
  <c r="Y37" i="8"/>
  <c r="AA36" i="8"/>
  <c r="AA37" i="8" s="1"/>
  <c r="V15" i="8"/>
  <c r="G44" i="8" s="1"/>
  <c r="W15" i="8"/>
  <c r="O37" i="8"/>
  <c r="Q36" i="8"/>
  <c r="Q37" i="8" s="1"/>
  <c r="V36" i="8"/>
  <c r="T37" i="8"/>
  <c r="F28" i="8"/>
  <c r="F50" i="8" s="1"/>
  <c r="O14" i="8"/>
  <c r="AA33" i="7"/>
  <c r="Y34" i="7"/>
  <c r="O26" i="7"/>
  <c r="O34" i="7" s="1"/>
  <c r="Q33" i="7"/>
  <c r="Q34" i="7" s="1"/>
  <c r="G26" i="7"/>
  <c r="G29" i="7" s="1"/>
  <c r="G39" i="7" s="1"/>
  <c r="P37" i="8" l="1"/>
  <c r="O38" i="8"/>
  <c r="G38" i="8"/>
  <c r="T38" i="8"/>
  <c r="G39" i="8"/>
  <c r="U37" i="8"/>
  <c r="U38" i="8" s="1"/>
  <c r="G32" i="8"/>
  <c r="X15" i="8"/>
  <c r="W16" i="8"/>
  <c r="AA38" i="8"/>
  <c r="U15" i="8"/>
  <c r="P15" i="8"/>
  <c r="G43" i="8" s="1"/>
  <c r="G42" i="8" s="1"/>
  <c r="R15" i="8"/>
  <c r="G40" i="8"/>
  <c r="Z37" i="8"/>
  <c r="Y38" i="8"/>
  <c r="V37" i="8"/>
  <c r="V38" i="8" s="1"/>
  <c r="AB18" i="8"/>
  <c r="AA18" i="8"/>
  <c r="AD17" i="8"/>
  <c r="I45" i="8"/>
  <c r="Y35" i="7"/>
  <c r="Z34" i="7"/>
  <c r="H35" i="7"/>
  <c r="T26" i="7"/>
  <c r="T34" i="7" s="1"/>
  <c r="V33" i="7"/>
  <c r="V34" i="7" s="1"/>
  <c r="O35" i="7"/>
  <c r="H33" i="7"/>
  <c r="P34" i="7"/>
  <c r="AA34" i="7"/>
  <c r="AA35" i="7" s="1"/>
  <c r="V16" i="8" l="1"/>
  <c r="H44" i="8" s="1"/>
  <c r="U16" i="8"/>
  <c r="H40" i="8"/>
  <c r="Y39" i="8"/>
  <c r="Z38" i="8"/>
  <c r="AA39" i="8"/>
  <c r="AC19" i="8"/>
  <c r="AB19" i="8"/>
  <c r="K45" i="8" s="1"/>
  <c r="AA19" i="8"/>
  <c r="H39" i="8"/>
  <c r="T39" i="8"/>
  <c r="V39" i="8" s="1"/>
  <c r="Q15" i="8"/>
  <c r="R16" i="8"/>
  <c r="P38" i="8"/>
  <c r="O39" i="8"/>
  <c r="H32" i="8"/>
  <c r="W17" i="8"/>
  <c r="AD18" i="8"/>
  <c r="J45" i="8"/>
  <c r="H38" i="8"/>
  <c r="G37" i="8"/>
  <c r="G41" i="8" s="1"/>
  <c r="G47" i="8" s="1"/>
  <c r="Q38" i="8"/>
  <c r="Q39" i="8" s="1"/>
  <c r="I33" i="7"/>
  <c r="P35" i="7"/>
  <c r="O36" i="7"/>
  <c r="Z35" i="7"/>
  <c r="Y36" i="7"/>
  <c r="I35" i="7"/>
  <c r="H34" i="7"/>
  <c r="H32" i="7" s="1"/>
  <c r="H36" i="7" s="1"/>
  <c r="T35" i="7"/>
  <c r="U34" i="7"/>
  <c r="U35" i="7" s="1"/>
  <c r="Q35" i="7"/>
  <c r="I38" i="8" l="1"/>
  <c r="H37" i="8"/>
  <c r="H41" i="8" s="1"/>
  <c r="G48" i="8"/>
  <c r="G49" i="8" s="1"/>
  <c r="G50" i="8" s="1"/>
  <c r="X16" i="8"/>
  <c r="Q40" i="8"/>
  <c r="I39" i="8"/>
  <c r="T40" i="8"/>
  <c r="K33" i="8"/>
  <c r="AD19" i="8"/>
  <c r="I32" i="8"/>
  <c r="W18" i="8"/>
  <c r="P39" i="8"/>
  <c r="O40" i="8"/>
  <c r="Y40" i="8"/>
  <c r="AA40" i="8" s="1"/>
  <c r="Z39" i="8"/>
  <c r="I40" i="8"/>
  <c r="R17" i="8"/>
  <c r="U39" i="8"/>
  <c r="U40" i="8" s="1"/>
  <c r="G31" i="8"/>
  <c r="G30" i="8" s="1"/>
  <c r="O15" i="8"/>
  <c r="V17" i="8"/>
  <c r="I44" i="8" s="1"/>
  <c r="U17" i="8"/>
  <c r="H37" i="7"/>
  <c r="H38" i="7" s="1"/>
  <c r="H39" i="7" s="1"/>
  <c r="I34" i="7"/>
  <c r="T36" i="7"/>
  <c r="V35" i="7"/>
  <c r="V36" i="7" s="1"/>
  <c r="U36" i="7"/>
  <c r="J33" i="7"/>
  <c r="I32" i="7"/>
  <c r="I36" i="7" s="1"/>
  <c r="O37" i="7"/>
  <c r="P36" i="7"/>
  <c r="Y37" i="7"/>
  <c r="Z36" i="7"/>
  <c r="J35" i="7"/>
  <c r="Q36" i="7"/>
  <c r="AA36" i="7"/>
  <c r="R18" i="8" l="1"/>
  <c r="W19" i="8"/>
  <c r="J32" i="8"/>
  <c r="X17" i="8"/>
  <c r="J38" i="8"/>
  <c r="I37" i="8"/>
  <c r="I41" i="8" s="1"/>
  <c r="J39" i="8"/>
  <c r="T41" i="8"/>
  <c r="Z40" i="8"/>
  <c r="J40" i="8"/>
  <c r="Y41" i="8"/>
  <c r="O41" i="8"/>
  <c r="Q41" i="8" s="1"/>
  <c r="P40" i="8"/>
  <c r="V18" i="8"/>
  <c r="J44" i="8" s="1"/>
  <c r="U18" i="8"/>
  <c r="P16" i="8"/>
  <c r="V40" i="8"/>
  <c r="V41" i="8" s="1"/>
  <c r="H41" i="7"/>
  <c r="AA37" i="7"/>
  <c r="I37" i="7"/>
  <c r="I38" i="7"/>
  <c r="I39" i="7" s="1"/>
  <c r="I41" i="7" s="1"/>
  <c r="Q37" i="7"/>
  <c r="Y38" i="7"/>
  <c r="Z37" i="7"/>
  <c r="K35" i="7"/>
  <c r="O38" i="7"/>
  <c r="P37" i="7"/>
  <c r="K33" i="7"/>
  <c r="T37" i="7"/>
  <c r="U37" i="7" s="1"/>
  <c r="J34" i="7"/>
  <c r="J32" i="7" s="1"/>
  <c r="J36" i="7" s="1"/>
  <c r="H43" i="8" l="1"/>
  <c r="Q16" i="8"/>
  <c r="X18" i="8"/>
  <c r="R19" i="8"/>
  <c r="K38" i="8"/>
  <c r="K37" i="8" s="1"/>
  <c r="K41" i="8" s="1"/>
  <c r="J37" i="8"/>
  <c r="J41" i="8" s="1"/>
  <c r="K32" i="8"/>
  <c r="X19" i="8"/>
  <c r="O42" i="8"/>
  <c r="P41" i="8"/>
  <c r="Z41" i="8"/>
  <c r="K40" i="8"/>
  <c r="T42" i="8"/>
  <c r="K39" i="8"/>
  <c r="U41" i="8"/>
  <c r="U42" i="8" s="1"/>
  <c r="U19" i="8"/>
  <c r="V19" i="8"/>
  <c r="K44" i="8" s="1"/>
  <c r="AA41" i="8"/>
  <c r="K28" i="8" s="1"/>
  <c r="V42" i="8"/>
  <c r="J37" i="7"/>
  <c r="J38" i="7" s="1"/>
  <c r="J39" i="7" s="1"/>
  <c r="Z38" i="7"/>
  <c r="L35" i="7"/>
  <c r="Q38" i="7"/>
  <c r="O39" i="7"/>
  <c r="P38" i="7"/>
  <c r="AA38" i="7"/>
  <c r="L27" i="7" s="1"/>
  <c r="V37" i="7"/>
  <c r="V38" i="7" s="1"/>
  <c r="L33" i="7"/>
  <c r="K32" i="7"/>
  <c r="K36" i="7" s="1"/>
  <c r="T38" i="7"/>
  <c r="K34" i="7"/>
  <c r="P42" i="8" l="1"/>
  <c r="O43" i="8"/>
  <c r="H31" i="8"/>
  <c r="H30" i="8" s="1"/>
  <c r="O16" i="8"/>
  <c r="H42" i="8"/>
  <c r="H47" i="8"/>
  <c r="Q42" i="8"/>
  <c r="Q43" i="8" s="1"/>
  <c r="J41" i="7"/>
  <c r="K37" i="7"/>
  <c r="K38" i="7" s="1"/>
  <c r="K39" i="7" s="1"/>
  <c r="O40" i="7"/>
  <c r="P39" i="7"/>
  <c r="L25" i="7"/>
  <c r="Q39" i="7"/>
  <c r="Q40" i="7" s="1"/>
  <c r="T39" i="7"/>
  <c r="V39" i="7" s="1"/>
  <c r="L34" i="7"/>
  <c r="L32" i="7" s="1"/>
  <c r="L36" i="7" s="1"/>
  <c r="L26" i="7"/>
  <c r="U38" i="7"/>
  <c r="H48" i="8" l="1"/>
  <c r="H49" i="8" s="1"/>
  <c r="H50" i="8" s="1"/>
  <c r="P17" i="8"/>
  <c r="O44" i="8"/>
  <c r="P43" i="8"/>
  <c r="L37" i="7"/>
  <c r="L38" i="7"/>
  <c r="K41" i="7"/>
  <c r="O41" i="7"/>
  <c r="P40" i="7"/>
  <c r="L29" i="7"/>
  <c r="U39" i="7"/>
  <c r="O45" i="8" l="1"/>
  <c r="P44" i="8"/>
  <c r="I43" i="8"/>
  <c r="Q17" i="8"/>
  <c r="Q44" i="8"/>
  <c r="Q45" i="8" s="1"/>
  <c r="O42" i="7"/>
  <c r="P41" i="7"/>
  <c r="Q41" i="7"/>
  <c r="Q42" i="7" s="1"/>
  <c r="L39" i="7"/>
  <c r="I31" i="8" l="1"/>
  <c r="I30" i="8" s="1"/>
  <c r="O17" i="8"/>
  <c r="I42" i="8"/>
  <c r="I47" i="8"/>
  <c r="P45" i="8"/>
  <c r="O46" i="8"/>
  <c r="P46" i="8" s="1"/>
  <c r="Q46" i="8"/>
  <c r="L41" i="7"/>
  <c r="G41" i="7" s="1"/>
  <c r="C41" i="7"/>
  <c r="C42" i="7" s="1"/>
  <c r="C43" i="7" s="1"/>
  <c r="P42" i="7"/>
  <c r="O43" i="7"/>
  <c r="P43" i="7" s="1"/>
  <c r="P18" i="8" l="1"/>
  <c r="I48" i="8"/>
  <c r="I49" i="8" s="1"/>
  <c r="I50" i="8" s="1"/>
  <c r="Q43" i="7"/>
  <c r="J43" i="8" l="1"/>
  <c r="Q18" i="8"/>
  <c r="J31" i="8" l="1"/>
  <c r="J30" i="8" s="1"/>
  <c r="O18" i="8"/>
  <c r="J42" i="8"/>
  <c r="J47" i="8"/>
  <c r="J48" i="8" l="1"/>
  <c r="J49" i="8" s="1"/>
  <c r="J50" i="8" s="1"/>
  <c r="P19" i="8"/>
  <c r="K43" i="8" l="1"/>
  <c r="Q19" i="8"/>
  <c r="O19" i="8" l="1"/>
  <c r="K31" i="8" s="1"/>
  <c r="K30" i="8" s="1"/>
  <c r="K42" i="8"/>
  <c r="K47" i="8"/>
  <c r="K48" i="8" l="1"/>
  <c r="K49" i="8" s="1"/>
  <c r="K50" i="8" s="1"/>
  <c r="B52" i="8" s="1"/>
  <c r="B53" i="8" s="1"/>
  <c r="B54" i="8" s="1"/>
  <c r="F24" i="3" l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E24" i="3"/>
  <c r="E38" i="3"/>
  <c r="F38" i="3"/>
  <c r="G38" i="3"/>
  <c r="H38" i="3"/>
  <c r="I38" i="3"/>
  <c r="J38" i="3"/>
  <c r="K38" i="3"/>
  <c r="L38" i="3"/>
  <c r="M38" i="3"/>
  <c r="D38" i="3"/>
  <c r="E34" i="3"/>
  <c r="F34" i="3"/>
  <c r="F23" i="3" s="1"/>
  <c r="G34" i="3"/>
  <c r="H34" i="3"/>
  <c r="I34" i="3"/>
  <c r="J34" i="3"/>
  <c r="K34" i="3"/>
  <c r="L34" i="3"/>
  <c r="M34" i="3"/>
  <c r="M23" i="3" s="1"/>
  <c r="N34" i="3"/>
  <c r="N23" i="3" s="1"/>
  <c r="O34" i="3"/>
  <c r="O23" i="3" s="1"/>
  <c r="P34" i="3"/>
  <c r="P23" i="3" s="1"/>
  <c r="Q34" i="3"/>
  <c r="R34" i="3"/>
  <c r="R23" i="3" s="1"/>
  <c r="D34" i="3"/>
  <c r="D23" i="3" s="1"/>
  <c r="D39" i="3"/>
  <c r="E39" i="3" s="1"/>
  <c r="F39" i="3" s="1"/>
  <c r="G39" i="3" s="1"/>
  <c r="H39" i="3" s="1"/>
  <c r="I39" i="3" s="1"/>
  <c r="J39" i="3" s="1"/>
  <c r="K39" i="3" s="1"/>
  <c r="L39" i="3" s="1"/>
  <c r="M39" i="3" s="1"/>
  <c r="N39" i="3" s="1"/>
  <c r="D37" i="3"/>
  <c r="E37" i="3" s="1"/>
  <c r="Q23" i="3"/>
  <c r="L23" i="3"/>
  <c r="K23" i="3"/>
  <c r="J23" i="3"/>
  <c r="G23" i="3"/>
  <c r="E23" i="3"/>
  <c r="C29" i="3"/>
  <c r="C26" i="3"/>
  <c r="C27" i="3" s="1"/>
  <c r="C28" i="3" s="1"/>
  <c r="I23" i="3"/>
  <c r="H23" i="3"/>
  <c r="R22" i="3"/>
  <c r="Q22" i="3"/>
  <c r="P22" i="3"/>
  <c r="O22" i="3"/>
  <c r="N22" i="3"/>
  <c r="M22" i="3"/>
  <c r="L22" i="3"/>
  <c r="K22" i="3"/>
  <c r="J22" i="3"/>
  <c r="G19" i="3"/>
  <c r="C18" i="3"/>
  <c r="N25" i="3" l="1"/>
  <c r="O39" i="3"/>
  <c r="F37" i="3"/>
  <c r="E25" i="3"/>
  <c r="E26" i="3" s="1"/>
  <c r="E27" i="3" l="1"/>
  <c r="E28" i="3" s="1"/>
  <c r="E29" i="3" s="1"/>
  <c r="G37" i="3"/>
  <c r="F25" i="3"/>
  <c r="F26" i="3" s="1"/>
  <c r="O25" i="3"/>
  <c r="P39" i="3"/>
  <c r="Q39" i="3" l="1"/>
  <c r="P25" i="3"/>
  <c r="F27" i="3"/>
  <c r="F28" i="3" s="1"/>
  <c r="F29" i="3" s="1"/>
  <c r="H37" i="3"/>
  <c r="G25" i="3"/>
  <c r="G26" i="3" s="1"/>
  <c r="G27" i="3" l="1"/>
  <c r="G28" i="3" s="1"/>
  <c r="G29" i="3" s="1"/>
  <c r="I37" i="3"/>
  <c r="H25" i="3"/>
  <c r="H26" i="3" s="1"/>
  <c r="R39" i="3"/>
  <c r="R25" i="3" s="1"/>
  <c r="Q25" i="3"/>
  <c r="J37" i="3" l="1"/>
  <c r="I25" i="3"/>
  <c r="I26" i="3" s="1"/>
  <c r="H27" i="3"/>
  <c r="H28" i="3" s="1"/>
  <c r="H29" i="3" s="1"/>
  <c r="N26" i="3"/>
  <c r="O26" i="3" l="1"/>
  <c r="N27" i="3"/>
  <c r="N28" i="3" s="1"/>
  <c r="N29" i="3" s="1"/>
  <c r="I27" i="3"/>
  <c r="I28" i="3" s="1"/>
  <c r="I29" i="3" s="1"/>
  <c r="J25" i="3"/>
  <c r="J26" i="3" s="1"/>
  <c r="K37" i="3"/>
  <c r="K25" i="3" l="1"/>
  <c r="K26" i="3" s="1"/>
  <c r="L37" i="3"/>
  <c r="O27" i="3"/>
  <c r="O28" i="3" s="1"/>
  <c r="O29" i="3" s="1"/>
  <c r="J27" i="3"/>
  <c r="J28" i="3" s="1"/>
  <c r="J29" i="3" s="1"/>
  <c r="P26" i="3"/>
  <c r="P27" i="3" l="1"/>
  <c r="P28" i="3" s="1"/>
  <c r="P29" i="3" s="1"/>
  <c r="R26" i="3"/>
  <c r="Q26" i="3"/>
  <c r="M37" i="3"/>
  <c r="M25" i="3" s="1"/>
  <c r="M26" i="3" s="1"/>
  <c r="L25" i="3"/>
  <c r="L26" i="3" s="1"/>
  <c r="K27" i="3"/>
  <c r="K28" i="3" s="1"/>
  <c r="K29" i="3" s="1"/>
  <c r="M27" i="3" l="1"/>
  <c r="M28" i="3" s="1"/>
  <c r="M29" i="3" s="1"/>
  <c r="Q27" i="3"/>
  <c r="Q28" i="3" s="1"/>
  <c r="Q29" i="3" s="1"/>
  <c r="R27" i="3"/>
  <c r="R28" i="3" s="1"/>
  <c r="R29" i="3" s="1"/>
  <c r="L27" i="3"/>
  <c r="L28" i="3" s="1"/>
  <c r="L29" i="3" s="1"/>
  <c r="S35" i="2" l="1"/>
  <c r="S21" i="2" s="1"/>
  <c r="K35" i="2"/>
  <c r="K20" i="2" s="1"/>
  <c r="G36" i="2"/>
  <c r="F36" i="2"/>
  <c r="F21" i="2" s="1"/>
  <c r="E36" i="2"/>
  <c r="E21" i="2" s="1"/>
  <c r="D36" i="2"/>
  <c r="D20" i="2" s="1"/>
  <c r="C36" i="2"/>
  <c r="C20" i="2" s="1"/>
  <c r="T34" i="2"/>
  <c r="T35" i="2" s="1"/>
  <c r="L34" i="2"/>
  <c r="C23" i="2"/>
  <c r="C27" i="2" s="1"/>
  <c r="W22" i="2"/>
  <c r="V22" i="2"/>
  <c r="U22" i="2"/>
  <c r="T22" i="2"/>
  <c r="S22" i="2"/>
  <c r="O22" i="2"/>
  <c r="N22" i="2"/>
  <c r="M22" i="2"/>
  <c r="L22" i="2"/>
  <c r="K22" i="2"/>
  <c r="G22" i="2"/>
  <c r="F22" i="2"/>
  <c r="E22" i="2"/>
  <c r="D22" i="2"/>
  <c r="C22" i="2"/>
  <c r="S20" i="2"/>
  <c r="F20" i="2"/>
  <c r="B19" i="2"/>
  <c r="B27" i="2" s="1"/>
  <c r="D10" i="2"/>
  <c r="D9" i="2"/>
  <c r="J19" i="2" s="1"/>
  <c r="J27" i="2" s="1"/>
  <c r="C21" i="2" l="1"/>
  <c r="D21" i="2"/>
  <c r="K21" i="2"/>
  <c r="E20" i="2"/>
  <c r="K23" i="2"/>
  <c r="L23" i="2" s="1"/>
  <c r="M23" i="2" s="1"/>
  <c r="N23" i="2" s="1"/>
  <c r="O23" i="2" s="1"/>
  <c r="C24" i="2"/>
  <c r="K24" i="2"/>
  <c r="K26" i="2" s="1"/>
  <c r="K27" i="2" s="1"/>
  <c r="G21" i="2"/>
  <c r="G20" i="2"/>
  <c r="L35" i="2"/>
  <c r="M34" i="2"/>
  <c r="T20" i="2"/>
  <c r="T21" i="2"/>
  <c r="S23" i="2"/>
  <c r="T23" i="2" s="1"/>
  <c r="U23" i="2" s="1"/>
  <c r="V23" i="2" s="1"/>
  <c r="W23" i="2" s="1"/>
  <c r="R19" i="2"/>
  <c r="R27" i="2" s="1"/>
  <c r="D23" i="2"/>
  <c r="E23" i="2" s="1"/>
  <c r="F23" i="2" s="1"/>
  <c r="G23" i="2" s="1"/>
  <c r="U34" i="2"/>
  <c r="S24" i="2" l="1"/>
  <c r="S26" i="2" s="1"/>
  <c r="S27" i="2" s="1"/>
  <c r="G24" i="2"/>
  <c r="F24" i="2"/>
  <c r="E24" i="2"/>
  <c r="D24" i="2"/>
  <c r="T24" i="2"/>
  <c r="M35" i="2"/>
  <c r="N34" i="2"/>
  <c r="U35" i="2"/>
  <c r="V34" i="2"/>
  <c r="L21" i="2"/>
  <c r="L20" i="2"/>
  <c r="L24" i="2" l="1"/>
  <c r="L25" i="2" s="1"/>
  <c r="L26" i="2" s="1"/>
  <c r="L27" i="2" s="1"/>
  <c r="O34" i="2"/>
  <c r="O35" i="2" s="1"/>
  <c r="N35" i="2"/>
  <c r="V35" i="2"/>
  <c r="W34" i="2"/>
  <c r="W35" i="2" s="1"/>
  <c r="U20" i="2"/>
  <c r="U21" i="2"/>
  <c r="M20" i="2"/>
  <c r="M21" i="2"/>
  <c r="T25" i="2"/>
  <c r="T26" i="2" s="1"/>
  <c r="T27" i="2" s="1"/>
  <c r="D25" i="2"/>
  <c r="D26" i="2" s="1"/>
  <c r="D27" i="2" s="1"/>
  <c r="E25" i="2"/>
  <c r="E26" i="2" s="1"/>
  <c r="E27" i="2" s="1"/>
  <c r="F25" i="2"/>
  <c r="F26" i="2" s="1"/>
  <c r="F27" i="2" s="1"/>
  <c r="G25" i="2"/>
  <c r="G26" i="2" s="1"/>
  <c r="G27" i="2" s="1"/>
  <c r="U24" i="2" l="1"/>
  <c r="U25" i="2" s="1"/>
  <c r="U26" i="2" s="1"/>
  <c r="U27" i="2" s="1"/>
  <c r="B28" i="2"/>
  <c r="B29" i="2" s="1"/>
  <c r="B30" i="2" s="1"/>
  <c r="M24" i="2"/>
  <c r="W21" i="2"/>
  <c r="W20" i="2"/>
  <c r="V21" i="2"/>
  <c r="V20" i="2"/>
  <c r="N21" i="2"/>
  <c r="N20" i="2"/>
  <c r="O21" i="2"/>
  <c r="O20" i="2"/>
  <c r="N24" i="2" l="1"/>
  <c r="V24" i="2"/>
  <c r="W24" i="2"/>
  <c r="W25" i="2" s="1"/>
  <c r="W26" i="2" s="1"/>
  <c r="W27" i="2" s="1"/>
  <c r="N25" i="2"/>
  <c r="N26" i="2" s="1"/>
  <c r="N27" i="2" s="1"/>
  <c r="V25" i="2"/>
  <c r="V26" i="2" s="1"/>
  <c r="V27" i="2" s="1"/>
  <c r="M25" i="2"/>
  <c r="M26" i="2" s="1"/>
  <c r="M27" i="2" s="1"/>
  <c r="O24" i="2"/>
  <c r="R28" i="2" l="1"/>
  <c r="R29" i="2" s="1"/>
  <c r="R30" i="2" s="1"/>
  <c r="O25" i="2"/>
  <c r="O26" i="2" s="1"/>
  <c r="O27" i="2" s="1"/>
  <c r="J28" i="2" s="1"/>
  <c r="J29" i="2" s="1"/>
  <c r="J30" i="2" s="1"/>
  <c r="F46" i="1" l="1"/>
  <c r="O35" i="1"/>
  <c r="J35" i="1"/>
  <c r="E35" i="1"/>
  <c r="O34" i="1"/>
  <c r="J34" i="1"/>
  <c r="E34" i="1"/>
  <c r="O33" i="1"/>
  <c r="J33" i="1"/>
  <c r="E33" i="1"/>
  <c r="E36" i="1" s="1"/>
  <c r="F34" i="1" s="1"/>
  <c r="C42" i="1" s="1"/>
  <c r="E25" i="1"/>
  <c r="E24" i="1"/>
  <c r="E23" i="1"/>
  <c r="F16" i="1"/>
  <c r="G16" i="1" s="1"/>
  <c r="G15" i="1"/>
  <c r="F15" i="1"/>
  <c r="F14" i="1"/>
  <c r="G14" i="1" s="1"/>
  <c r="K33" i="1" l="1"/>
  <c r="P33" i="1"/>
  <c r="G17" i="1"/>
  <c r="H16" i="1" s="1"/>
  <c r="H14" i="1"/>
  <c r="F35" i="1"/>
  <c r="D42" i="1" s="1"/>
  <c r="H15" i="1"/>
  <c r="J36" i="1"/>
  <c r="K34" i="1" s="1"/>
  <c r="C43" i="1" s="1"/>
  <c r="E26" i="1"/>
  <c r="O36" i="1"/>
  <c r="P34" i="1" s="1"/>
  <c r="C44" i="1" s="1"/>
  <c r="F33" i="1"/>
  <c r="H17" i="1" l="1"/>
  <c r="F36" i="1"/>
  <c r="B42" i="1"/>
  <c r="B44" i="1"/>
  <c r="B43" i="1"/>
  <c r="F24" i="1"/>
  <c r="E43" i="1" s="1"/>
  <c r="F25" i="1"/>
  <c r="E44" i="1" s="1"/>
  <c r="F23" i="1"/>
  <c r="P35" i="1"/>
  <c r="D44" i="1" s="1"/>
  <c r="K35" i="1"/>
  <c r="D43" i="1" s="1"/>
  <c r="E42" i="1" l="1"/>
  <c r="F26" i="1"/>
  <c r="K36" i="1"/>
  <c r="P36" i="1"/>
  <c r="F43" i="1" l="1"/>
  <c r="C51" i="1" s="1"/>
  <c r="F44" i="1"/>
  <c r="C52" i="1" s="1"/>
  <c r="F42" i="1"/>
  <c r="F45" i="1" l="1"/>
  <c r="C50" i="1"/>
  <c r="D25" i="3"/>
  <c r="D26" i="3" s="1"/>
  <c r="D27" i="3" s="1"/>
  <c r="D28" i="3" l="1"/>
  <c r="D29" i="3" s="1"/>
  <c r="C31" i="3" s="1"/>
</calcChain>
</file>

<file path=xl/sharedStrings.xml><?xml version="1.0" encoding="utf-8"?>
<sst xmlns="http://schemas.openxmlformats.org/spreadsheetml/2006/main" count="407" uniqueCount="210">
  <si>
    <t xml:space="preserve">Se busca determinar la mejor localizacion en los lugares A, B y C para un proyecto que tiene los siguientes factores </t>
  </si>
  <si>
    <t>MO</t>
  </si>
  <si>
    <t>Clima</t>
  </si>
  <si>
    <t>MP</t>
  </si>
  <si>
    <t xml:space="preserve">Vivienda </t>
  </si>
  <si>
    <t>Transp</t>
  </si>
  <si>
    <t>Educacion</t>
  </si>
  <si>
    <t>Otros</t>
  </si>
  <si>
    <t>OBJETIVOS</t>
  </si>
  <si>
    <t>SUBJETIVOS</t>
  </si>
  <si>
    <t>Factores objetivos</t>
  </si>
  <si>
    <t>Costos (Mio US$)</t>
  </si>
  <si>
    <t xml:space="preserve">Localizacion </t>
  </si>
  <si>
    <t>Suma)</t>
  </si>
  <si>
    <t>1/C</t>
  </si>
  <si>
    <t>FO</t>
  </si>
  <si>
    <t>A</t>
  </si>
  <si>
    <t>B</t>
  </si>
  <si>
    <t>C</t>
  </si>
  <si>
    <t>Factores subjetivos</t>
  </si>
  <si>
    <t>Comparación de dos factores y su in fluencia en el proyecto</t>
  </si>
  <si>
    <t xml:space="preserve">Factor </t>
  </si>
  <si>
    <t>Combinaciones pareadas</t>
  </si>
  <si>
    <t>Suma de
preferencia</t>
  </si>
  <si>
    <t>Indice W</t>
  </si>
  <si>
    <t>Vivienda</t>
  </si>
  <si>
    <t>Educación</t>
  </si>
  <si>
    <t>Evaluación del FS por localización</t>
  </si>
  <si>
    <t>Factor</t>
  </si>
  <si>
    <t>Localizacion</t>
  </si>
  <si>
    <t>Suma</t>
  </si>
  <si>
    <t>R1</t>
  </si>
  <si>
    <t>suma</t>
  </si>
  <si>
    <t>R2</t>
  </si>
  <si>
    <t>R3</t>
  </si>
  <si>
    <t>Resumen</t>
  </si>
  <si>
    <t>Puntaje relativo</t>
  </si>
  <si>
    <t>FS</t>
  </si>
  <si>
    <t>alfa</t>
  </si>
  <si>
    <t>1-alfa</t>
  </si>
  <si>
    <t>MPL</t>
  </si>
  <si>
    <t>La mejor ubicación</t>
  </si>
  <si>
    <t>Alternativa 1</t>
  </si>
  <si>
    <t>Unidad</t>
  </si>
  <si>
    <t>USD</t>
  </si>
  <si>
    <t>USD/u</t>
  </si>
  <si>
    <t>USD/mes</t>
  </si>
  <si>
    <t>Alternativa</t>
  </si>
  <si>
    <t>Capacidad</t>
  </si>
  <si>
    <t>Inversion</t>
  </si>
  <si>
    <t>CV</t>
  </si>
  <si>
    <t>CF</t>
  </si>
  <si>
    <t>tn</t>
  </si>
  <si>
    <t>Imp. Renta</t>
  </si>
  <si>
    <t>ke</t>
  </si>
  <si>
    <t>Ingresos</t>
  </si>
  <si>
    <t>Costos v</t>
  </si>
  <si>
    <t>Costos fijos</t>
  </si>
  <si>
    <t>Depreciacion</t>
  </si>
  <si>
    <t>UAI</t>
  </si>
  <si>
    <t>Impuestos</t>
  </si>
  <si>
    <t>UN</t>
  </si>
  <si>
    <t>FCL</t>
  </si>
  <si>
    <t>Vaf</t>
  </si>
  <si>
    <t>VAN</t>
  </si>
  <si>
    <t>Rentabilidad</t>
  </si>
  <si>
    <t>Demanda(u)</t>
  </si>
  <si>
    <t>Cap. Max</t>
  </si>
  <si>
    <t>Produccion</t>
  </si>
  <si>
    <t>Los activos a usar en el proyecto consideran:</t>
  </si>
  <si>
    <t xml:space="preserve">Activo </t>
  </si>
  <si>
    <t>P</t>
  </si>
  <si>
    <t>n</t>
  </si>
  <si>
    <t>Valor de
 mercado año 15</t>
  </si>
  <si>
    <t>Equipos</t>
  </si>
  <si>
    <t xml:space="preserve">Maquinaria </t>
  </si>
  <si>
    <t>Infraestructura</t>
  </si>
  <si>
    <t>Los ingresos del proyecto se proyectan según la función de Gompertz [f(t)] y los egresos del año 1 son 100 y estios se incrementan 2% anual</t>
  </si>
  <si>
    <t>a</t>
  </si>
  <si>
    <t xml:space="preserve">donde </t>
  </si>
  <si>
    <t>b</t>
  </si>
  <si>
    <t>c</t>
  </si>
  <si>
    <t>t es el año de proyección (mayor que cero)</t>
  </si>
  <si>
    <t>Los indicadores del mercado donde operará el proyecto son:</t>
  </si>
  <si>
    <t xml:space="preserve">kf  </t>
  </si>
  <si>
    <t>beta</t>
  </si>
  <si>
    <t>km</t>
  </si>
  <si>
    <t>rp</t>
  </si>
  <si>
    <t>Si tiene la posibilidad de acelerar la depreciación solo de la maquinaria, elija el número de años para maximizar el Vaf</t>
  </si>
  <si>
    <t>alfae</t>
  </si>
  <si>
    <t>p</t>
  </si>
  <si>
    <t xml:space="preserve">cok </t>
  </si>
  <si>
    <t>Egresos</t>
  </si>
  <si>
    <t>dep</t>
  </si>
  <si>
    <t>Imp (30%)</t>
  </si>
  <si>
    <t>Neto</t>
  </si>
  <si>
    <t>Flujo fondos</t>
  </si>
  <si>
    <t>n1</t>
  </si>
  <si>
    <t>Funcion Gompertz</t>
  </si>
  <si>
    <t xml:space="preserve">Ingresos </t>
  </si>
  <si>
    <t>Maquinaria</t>
  </si>
  <si>
    <t>Se decide realizar un proyecto que dura quince años para lo cual se realiza una inversión de 1240.</t>
  </si>
  <si>
    <t>Depreciación</t>
  </si>
  <si>
    <t>Se requiere evaluar la adquisición de una maquina para atender la demanda proyectada de los proximos cinco años</t>
  </si>
  <si>
    <t>Al respecto se dispone de tres tamaños de máquina, cuya información es la siguiente:</t>
  </si>
  <si>
    <t>CV: Costo variable</t>
  </si>
  <si>
    <t>CF: Costo fijo</t>
  </si>
  <si>
    <t xml:space="preserve">Se sabe que el precio de venta de los producido es </t>
  </si>
  <si>
    <t>Determine el tamaño óptimo de la maquina a comprar tal que genere mayor rentabilidad para el propietario del proyecto</t>
  </si>
  <si>
    <t>Alternativa 2</t>
  </si>
  <si>
    <t>Alternativa 3</t>
  </si>
  <si>
    <t xml:space="preserve"> (tomado del libro de referencia del curso)</t>
  </si>
  <si>
    <t>Luego de la evaluación  del mercado de un proyecto se ha determinado las siguientes proyeccion de los ingresos:</t>
  </si>
  <si>
    <t>Años</t>
  </si>
  <si>
    <t>Escenario 1</t>
  </si>
  <si>
    <t>Escenario 2</t>
  </si>
  <si>
    <t>Escenario 3</t>
  </si>
  <si>
    <t>Escenario 4</t>
  </si>
  <si>
    <t>Las inversiones que realizará corresponden a los años anteriores a la entrada en operación, como sigue:</t>
  </si>
  <si>
    <t>Año</t>
  </si>
  <si>
    <t>Concepto</t>
  </si>
  <si>
    <t>Monto</t>
  </si>
  <si>
    <t>Edificaciones</t>
  </si>
  <si>
    <t>Los egresos en los cinco años que dura el proyecto son:</t>
  </si>
  <si>
    <t>Para efectos de la evaluación del proyecto, la vida util de los bienes son 10, 6 y 5</t>
  </si>
  <si>
    <t>años respectivamente; la depreciación corre inmediatamente despues de la puesta</t>
  </si>
  <si>
    <t>en operación y sus valores residuales son 4, 2 y 2 respectivamente.</t>
  </si>
  <si>
    <t xml:space="preserve">a) Considerando que los fondos son propios. Calcular el rango de variación del </t>
  </si>
  <si>
    <t>valor del proyecto.</t>
  </si>
  <si>
    <t>b) Considerando que consiguen fondos en prestamo (80% del valor de la inversion)</t>
  </si>
  <si>
    <t>a una tasa del 7% el mismo que se devolverá en el periodo del proyecto.</t>
  </si>
  <si>
    <t>El prestamo de edificaciones se pagara con cuotas constantes, los equipos con</t>
  </si>
  <si>
    <t>amortizacion constante y la maquinaria en tres pagos, uno de 20 en el año 3, 5 en el</t>
  </si>
  <si>
    <t>año 4 y lo restante en el año 5. ¿Le conviene?</t>
  </si>
  <si>
    <t>Tasa de actualizacion</t>
  </si>
  <si>
    <t>Componente</t>
  </si>
  <si>
    <t>Tasa</t>
  </si>
  <si>
    <t>i</t>
  </si>
  <si>
    <t>Tasa libre de riesgo (Rf)</t>
  </si>
  <si>
    <t>Tasa de interés activa (i)</t>
  </si>
  <si>
    <t>kd</t>
  </si>
  <si>
    <t>Rf + Beta [E(Rm)-Rf] + Riesgo país</t>
  </si>
  <si>
    <t>Prima de mercado [E(Rm)-Rf]</t>
  </si>
  <si>
    <t>Peso deuda (Wd)</t>
  </si>
  <si>
    <t>Wd</t>
  </si>
  <si>
    <t>ke*We+Wd*kd</t>
  </si>
  <si>
    <r>
      <t>Beta (</t>
    </r>
    <r>
      <rPr>
        <sz val="8"/>
        <rFont val="Calibri"/>
        <family val="2"/>
      </rPr>
      <t>β</t>
    </r>
    <r>
      <rPr>
        <sz val="9.6"/>
        <rFont val="Arial"/>
        <family val="2"/>
      </rPr>
      <t>)</t>
    </r>
  </si>
  <si>
    <t>Peso capital (We)</t>
  </si>
  <si>
    <t>Riesgo país</t>
  </si>
  <si>
    <t>We</t>
  </si>
  <si>
    <t>Tasa impositiva a la renta</t>
  </si>
  <si>
    <t>WACC</t>
  </si>
  <si>
    <t>Proyección de ingresos</t>
  </si>
  <si>
    <t>Proyeccion 1</t>
  </si>
  <si>
    <t>Proyeccion 2</t>
  </si>
  <si>
    <t>Proyeccion 3</t>
  </si>
  <si>
    <t>Menor proyeccion</t>
  </si>
  <si>
    <t>Proyeccion 4</t>
  </si>
  <si>
    <t>Mayor proyeccion</t>
  </si>
  <si>
    <t>Flujo básico de inversion, ingresos y costos</t>
  </si>
  <si>
    <t>Edif</t>
  </si>
  <si>
    <t>Equip</t>
  </si>
  <si>
    <t>Maq</t>
  </si>
  <si>
    <t>Flujo capitales</t>
  </si>
  <si>
    <t>Calculo de depreciación</t>
  </si>
  <si>
    <t>I(Edif)</t>
  </si>
  <si>
    <t>I(Equip)</t>
  </si>
  <si>
    <t xml:space="preserve">P </t>
  </si>
  <si>
    <t>I (Maq)</t>
  </si>
  <si>
    <t xml:space="preserve">p </t>
  </si>
  <si>
    <t>Lineal</t>
  </si>
  <si>
    <t>d</t>
  </si>
  <si>
    <t>D</t>
  </si>
  <si>
    <t>V</t>
  </si>
  <si>
    <t>I1 (Edif)</t>
  </si>
  <si>
    <t>I2 (Equip)</t>
  </si>
  <si>
    <t>I3 (maquina)</t>
  </si>
  <si>
    <t>UAII</t>
  </si>
  <si>
    <t>Impuestos (30%)</t>
  </si>
  <si>
    <t>f</t>
  </si>
  <si>
    <t>VAf</t>
  </si>
  <si>
    <t>Vaf-I</t>
  </si>
  <si>
    <t>Rentab</t>
  </si>
  <si>
    <t>Considerando la proyeccion 3</t>
  </si>
  <si>
    <t>Considerando la proyección 4</t>
  </si>
  <si>
    <t xml:space="preserve">Rango del valor del proyecto </t>
  </si>
  <si>
    <t>73 - 148</t>
  </si>
  <si>
    <t>Tasa interes actiiva(i)</t>
  </si>
  <si>
    <t>Tasa impositiva (t)</t>
  </si>
  <si>
    <t>Calculo pago préstamo</t>
  </si>
  <si>
    <t>Capital</t>
  </si>
  <si>
    <t>Int</t>
  </si>
  <si>
    <t>amort</t>
  </si>
  <si>
    <t>cuota</t>
  </si>
  <si>
    <t>Flujo básico de Inversiones, ingresos y costos</t>
  </si>
  <si>
    <t xml:space="preserve">Parte a)  </t>
  </si>
  <si>
    <t>Propio</t>
  </si>
  <si>
    <t>Prestamo</t>
  </si>
  <si>
    <t>Maquina</t>
  </si>
  <si>
    <t>Costos</t>
  </si>
  <si>
    <t>Intereses</t>
  </si>
  <si>
    <t>Se actualiza al ke</t>
  </si>
  <si>
    <t>Vaf - I</t>
  </si>
  <si>
    <t xml:space="preserve"> (Proyección pesimista)</t>
  </si>
  <si>
    <t>Considerando la proyeccion 4</t>
  </si>
  <si>
    <t xml:space="preserve"> (Proyeccion optimista)</t>
  </si>
  <si>
    <t>Utilidades antes de interese e impuestos</t>
  </si>
  <si>
    <t xml:space="preserve">UAI </t>
  </si>
  <si>
    <t>Utilidaes antes de impuestos</t>
  </si>
  <si>
    <t>Utilidad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</si>
</sst>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0"/>
    <numFmt numFmtId="165" formatCode="0.000"/>
    <numFmt numFmtId="166" formatCode="0.0%"/>
    <numFmt numFmtId="167" formatCode="0.0"/>
    <numFmt numFmtId="168" formatCode="#,##0.0;[Red]\-#,##0.0"/>
    <numFmt numFmtId="169" formatCode="#,##0.00_ ;[Red]\-#,##0.00\ "/>
    <numFmt numFmtId="170" formatCode="#,##0.000_ ;[Red]\-#,##0.000\ "/>
    <numFmt numFmtId="171" formatCode="0.000%"/>
    <numFmt numFmtId="172" formatCode="_ * #,##0.00_ ;_ * \-#,##0.00_ ;_ * &quot;-&quot;??_ ;_ @_ "/>
    <numFmt numFmtId="173" formatCode="_ * #,##0_ ;_ * \-#,##0_ ;_ * &quot;-&quot;??_ ;_ @_ "/>
    <numFmt numFmtId="174" formatCode="_ * #,##0.0_ ;_ * \-#,##0.0_ ;_ * &quot;-&quot;??_ ;_ 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</font>
    <font>
      <sz val="9.6"/>
      <name val="Arial"/>
      <family val="2"/>
    </font>
    <font>
      <b/>
      <sz val="9"/>
      <name val="Arial"/>
      <family val="2"/>
    </font>
    <font>
      <sz val="8"/>
      <color rgb="FFFF0000"/>
      <name val="Arial"/>
      <family val="2"/>
    </font>
    <font>
      <b/>
      <sz val="8"/>
      <color indexed="12"/>
      <name val="Arial"/>
      <family val="2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172" fontId="4" fillId="0" borderId="0" applyFont="0" applyFill="0" applyBorder="0" applyAlignment="0" applyProtection="0"/>
  </cellStyleXfs>
  <cellXfs count="2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0" fillId="0" borderId="5" xfId="0" applyBorder="1"/>
    <xf numFmtId="164" fontId="0" fillId="0" borderId="4" xfId="0" applyNumberFormat="1" applyBorder="1"/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2" fontId="0" fillId="0" borderId="4" xfId="0" applyNumberFormat="1" applyBorder="1"/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/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0" fillId="0" borderId="13" xfId="0" applyBorder="1"/>
    <xf numFmtId="0" fontId="0" fillId="0" borderId="14" xfId="0" applyBorder="1"/>
    <xf numFmtId="2" fontId="0" fillId="0" borderId="14" xfId="0" applyNumberFormat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2" fontId="0" fillId="0" borderId="19" xfId="0" applyNumberFormat="1" applyBorder="1"/>
    <xf numFmtId="0" fontId="0" fillId="0" borderId="9" xfId="0" applyBorder="1"/>
    <xf numFmtId="0" fontId="0" fillId="0" borderId="20" xfId="0" applyBorder="1"/>
    <xf numFmtId="165" fontId="0" fillId="0" borderId="4" xfId="0" applyNumberFormat="1" applyBorder="1"/>
    <xf numFmtId="0" fontId="0" fillId="2" borderId="4" xfId="0" applyFill="1" applyBorder="1"/>
    <xf numFmtId="2" fontId="0" fillId="2" borderId="4" xfId="0" applyNumberFormat="1" applyFill="1" applyBorder="1"/>
    <xf numFmtId="0" fontId="2" fillId="3" borderId="4" xfId="0" applyFont="1" applyFill="1" applyBorder="1"/>
    <xf numFmtId="0" fontId="0" fillId="0" borderId="21" xfId="0" applyBorder="1"/>
    <xf numFmtId="0" fontId="0" fillId="4" borderId="4" xfId="0" applyFill="1" applyBorder="1"/>
    <xf numFmtId="9" fontId="0" fillId="0" borderId="0" xfId="0" applyNumberFormat="1"/>
    <xf numFmtId="0" fontId="0" fillId="3" borderId="4" xfId="0" applyFill="1" applyBorder="1"/>
    <xf numFmtId="1" fontId="0" fillId="0" borderId="0" xfId="0" applyNumberFormat="1"/>
    <xf numFmtId="1" fontId="3" fillId="2" borderId="4" xfId="0" applyNumberFormat="1" applyFont="1" applyFill="1" applyBorder="1"/>
    <xf numFmtId="9" fontId="0" fillId="0" borderId="0" xfId="2" applyFont="1"/>
    <xf numFmtId="0" fontId="3" fillId="0" borderId="0" xfId="0" applyFont="1"/>
    <xf numFmtId="0" fontId="0" fillId="0" borderId="4" xfId="0" applyBorder="1" applyAlignment="1">
      <alignment wrapText="1"/>
    </xf>
    <xf numFmtId="10" fontId="0" fillId="0" borderId="0" xfId="0" applyNumberFormat="1"/>
    <xf numFmtId="166" fontId="0" fillId="0" borderId="0" xfId="0" applyNumberFormat="1"/>
    <xf numFmtId="1" fontId="0" fillId="0" borderId="4" xfId="0" applyNumberFormat="1" applyBorder="1"/>
    <xf numFmtId="167" fontId="0" fillId="0" borderId="4" xfId="0" applyNumberFormat="1" applyBorder="1"/>
    <xf numFmtId="43" fontId="0" fillId="0" borderId="4" xfId="1" applyFont="1" applyBorder="1"/>
    <xf numFmtId="168" fontId="0" fillId="0" borderId="0" xfId="0" applyNumberFormat="1"/>
    <xf numFmtId="0" fontId="3" fillId="5" borderId="4" xfId="0" applyFont="1" applyFill="1" applyBorder="1"/>
    <xf numFmtId="40" fontId="0" fillId="4" borderId="0" xfId="0" applyNumberFormat="1" applyFill="1"/>
    <xf numFmtId="167" fontId="0" fillId="0" borderId="0" xfId="0" applyNumberFormat="1"/>
    <xf numFmtId="0" fontId="0" fillId="6" borderId="4" xfId="0" applyFill="1" applyBorder="1"/>
    <xf numFmtId="167" fontId="0" fillId="6" borderId="4" xfId="0" applyNumberFormat="1" applyFill="1" applyBorder="1"/>
    <xf numFmtId="0" fontId="0" fillId="0" borderId="0" xfId="0" applyBorder="1"/>
    <xf numFmtId="0" fontId="4" fillId="0" borderId="0" xfId="3"/>
    <xf numFmtId="0" fontId="5" fillId="0" borderId="4" xfId="3" applyFont="1" applyBorder="1"/>
    <xf numFmtId="0" fontId="4" fillId="0" borderId="4" xfId="3" applyBorder="1"/>
    <xf numFmtId="0" fontId="6" fillId="0" borderId="0" xfId="3" applyFont="1"/>
    <xf numFmtId="166" fontId="6" fillId="0" borderId="0" xfId="4" applyNumberFormat="1" applyFont="1"/>
    <xf numFmtId="0" fontId="7" fillId="0" borderId="23" xfId="3" applyFont="1" applyBorder="1"/>
    <xf numFmtId="0" fontId="7" fillId="0" borderId="24" xfId="3" applyFont="1" applyBorder="1"/>
    <xf numFmtId="2" fontId="7" fillId="0" borderId="24" xfId="3" applyNumberFormat="1" applyFont="1" applyBorder="1"/>
    <xf numFmtId="0" fontId="7" fillId="0" borderId="25" xfId="3" applyFont="1" applyBorder="1"/>
    <xf numFmtId="0" fontId="7" fillId="0" borderId="26" xfId="3" applyFont="1" applyBorder="1"/>
    <xf numFmtId="166" fontId="6" fillId="0" borderId="4" xfId="3" applyNumberFormat="1" applyFont="1" applyBorder="1"/>
    <xf numFmtId="0" fontId="6" fillId="0" borderId="27" xfId="3" applyFont="1" applyBorder="1"/>
    <xf numFmtId="0" fontId="6" fillId="0" borderId="28" xfId="3" applyFont="1" applyBorder="1"/>
    <xf numFmtId="2" fontId="6" fillId="0" borderId="28" xfId="3" applyNumberFormat="1" applyFont="1" applyBorder="1"/>
    <xf numFmtId="0" fontId="4" fillId="0" borderId="29" xfId="3" applyBorder="1"/>
    <xf numFmtId="10" fontId="6" fillId="0" borderId="30" xfId="3" applyNumberFormat="1" applyFont="1" applyBorder="1"/>
    <xf numFmtId="166" fontId="6" fillId="0" borderId="30" xfId="3" applyNumberFormat="1" applyFont="1" applyBorder="1"/>
    <xf numFmtId="0" fontId="6" fillId="0" borderId="4" xfId="3" applyFont="1" applyBorder="1"/>
    <xf numFmtId="166" fontId="6" fillId="0" borderId="4" xfId="4" applyNumberFormat="1" applyFont="1" applyBorder="1"/>
    <xf numFmtId="2" fontId="6" fillId="0" borderId="0" xfId="3" applyNumberFormat="1" applyFont="1"/>
    <xf numFmtId="0" fontId="6" fillId="0" borderId="31" xfId="3" applyFont="1" applyBorder="1"/>
    <xf numFmtId="0" fontId="6" fillId="0" borderId="32" xfId="3" applyFont="1" applyBorder="1"/>
    <xf numFmtId="10" fontId="6" fillId="0" borderId="33" xfId="4" applyNumberFormat="1" applyFont="1" applyBorder="1"/>
    <xf numFmtId="0" fontId="7" fillId="0" borderId="0" xfId="3" applyFont="1"/>
    <xf numFmtId="0" fontId="4" fillId="0" borderId="32" xfId="3" applyBorder="1"/>
    <xf numFmtId="169" fontId="6" fillId="0" borderId="33" xfId="3" applyNumberFormat="1" applyFont="1" applyBorder="1" applyAlignment="1">
      <alignment horizontal="right"/>
    </xf>
    <xf numFmtId="169" fontId="6" fillId="0" borderId="4" xfId="3" applyNumberFormat="1" applyFont="1" applyBorder="1"/>
    <xf numFmtId="2" fontId="6" fillId="0" borderId="33" xfId="3" applyNumberFormat="1" applyFont="1" applyBorder="1" applyAlignment="1">
      <alignment horizontal="right"/>
    </xf>
    <xf numFmtId="0" fontId="6" fillId="2" borderId="4" xfId="3" applyFont="1" applyFill="1" applyBorder="1"/>
    <xf numFmtId="166" fontId="6" fillId="2" borderId="4" xfId="4" applyNumberFormat="1" applyFont="1" applyFill="1" applyBorder="1"/>
    <xf numFmtId="10" fontId="6" fillId="0" borderId="33" xfId="4" applyNumberFormat="1" applyFont="1" applyBorder="1" applyAlignment="1">
      <alignment horizontal="right"/>
    </xf>
    <xf numFmtId="0" fontId="6" fillId="0" borderId="34" xfId="3" applyFont="1" applyBorder="1"/>
    <xf numFmtId="0" fontId="4" fillId="0" borderId="35" xfId="3" applyBorder="1"/>
    <xf numFmtId="0" fontId="4" fillId="0" borderId="36" xfId="3" applyBorder="1"/>
    <xf numFmtId="169" fontId="6" fillId="0" borderId="37" xfId="3" applyNumberFormat="1" applyFont="1" applyBorder="1" applyAlignment="1">
      <alignment horizontal="right"/>
    </xf>
    <xf numFmtId="0" fontId="6" fillId="0" borderId="35" xfId="3" applyFont="1" applyBorder="1"/>
    <xf numFmtId="2" fontId="6" fillId="0" borderId="35" xfId="3" applyNumberFormat="1" applyFont="1" applyBorder="1"/>
    <xf numFmtId="0" fontId="6" fillId="0" borderId="36" xfId="3" applyFont="1" applyBorder="1"/>
    <xf numFmtId="9" fontId="6" fillId="0" borderId="37" xfId="4" applyFont="1" applyBorder="1" applyAlignment="1">
      <alignment horizontal="right"/>
    </xf>
    <xf numFmtId="0" fontId="6" fillId="4" borderId="4" xfId="3" applyFont="1" applyFill="1" applyBorder="1"/>
    <xf numFmtId="166" fontId="6" fillId="4" borderId="4" xfId="4" applyNumberFormat="1" applyFont="1" applyFill="1" applyBorder="1"/>
    <xf numFmtId="2" fontId="6" fillId="0" borderId="0" xfId="3" applyNumberFormat="1" applyFont="1" applyAlignment="1">
      <alignment horizontal="right"/>
    </xf>
    <xf numFmtId="0" fontId="5" fillId="0" borderId="0" xfId="3" applyFont="1"/>
    <xf numFmtId="2" fontId="6" fillId="0" borderId="4" xfId="3" applyNumberFormat="1" applyFont="1" applyBorder="1"/>
    <xf numFmtId="2" fontId="4" fillId="0" borderId="0" xfId="3" applyNumberFormat="1"/>
    <xf numFmtId="166" fontId="6" fillId="0" borderId="0" xfId="3" applyNumberFormat="1" applyFont="1"/>
    <xf numFmtId="9" fontId="6" fillId="0" borderId="0" xfId="3" applyNumberFormat="1" applyFont="1"/>
    <xf numFmtId="0" fontId="6" fillId="7" borderId="4" xfId="3" applyFont="1" applyFill="1" applyBorder="1"/>
    <xf numFmtId="2" fontId="6" fillId="7" borderId="4" xfId="3" applyNumberFormat="1" applyFont="1" applyFill="1" applyBorder="1"/>
    <xf numFmtId="169" fontId="6" fillId="0" borderId="0" xfId="3" applyNumberFormat="1" applyFont="1"/>
    <xf numFmtId="0" fontId="10" fillId="0" borderId="0" xfId="3" applyFont="1"/>
    <xf numFmtId="166" fontId="11" fillId="0" borderId="0" xfId="4" applyNumberFormat="1" applyFont="1"/>
    <xf numFmtId="0" fontId="7" fillId="0" borderId="4" xfId="3" applyFont="1" applyBorder="1"/>
    <xf numFmtId="0" fontId="6" fillId="0" borderId="0" xfId="3" applyFont="1" applyAlignment="1">
      <alignment horizontal="center"/>
    </xf>
    <xf numFmtId="0" fontId="7" fillId="0" borderId="38" xfId="3" applyFont="1" applyBorder="1"/>
    <xf numFmtId="0" fontId="7" fillId="0" borderId="39" xfId="3" applyFont="1" applyBorder="1"/>
    <xf numFmtId="0" fontId="7" fillId="0" borderId="15" xfId="3" applyFont="1" applyBorder="1"/>
    <xf numFmtId="2" fontId="6" fillId="0" borderId="22" xfId="3" applyNumberFormat="1" applyFont="1" applyBorder="1"/>
    <xf numFmtId="40" fontId="6" fillId="0" borderId="40" xfId="3" applyNumberFormat="1" applyFont="1" applyBorder="1"/>
    <xf numFmtId="40" fontId="6" fillId="0" borderId="0" xfId="3" applyNumberFormat="1" applyFont="1"/>
    <xf numFmtId="2" fontId="6" fillId="0" borderId="20" xfId="3" applyNumberFormat="1" applyFont="1" applyBorder="1"/>
    <xf numFmtId="0" fontId="6" fillId="0" borderId="41" xfId="3" applyFont="1" applyBorder="1"/>
    <xf numFmtId="40" fontId="6" fillId="0" borderId="42" xfId="3" applyNumberFormat="1" applyFont="1" applyBorder="1"/>
    <xf numFmtId="2" fontId="6" fillId="2" borderId="4" xfId="3" applyNumberFormat="1" applyFont="1" applyFill="1" applyBorder="1"/>
    <xf numFmtId="2" fontId="6" fillId="8" borderId="4" xfId="3" applyNumberFormat="1" applyFont="1" applyFill="1" applyBorder="1"/>
    <xf numFmtId="165" fontId="6" fillId="0" borderId="0" xfId="3" applyNumberFormat="1" applyFont="1"/>
    <xf numFmtId="2" fontId="6" fillId="8" borderId="8" xfId="3" applyNumberFormat="1" applyFont="1" applyFill="1" applyBorder="1"/>
    <xf numFmtId="2" fontId="6" fillId="8" borderId="39" xfId="3" applyNumberFormat="1" applyFont="1" applyFill="1" applyBorder="1"/>
    <xf numFmtId="2" fontId="6" fillId="8" borderId="15" xfId="3" applyNumberFormat="1" applyFont="1" applyFill="1" applyBorder="1"/>
    <xf numFmtId="40" fontId="6" fillId="0" borderId="4" xfId="3" applyNumberFormat="1" applyFont="1" applyBorder="1"/>
    <xf numFmtId="2" fontId="6" fillId="8" borderId="21" xfId="3" applyNumberFormat="1" applyFont="1" applyFill="1" applyBorder="1"/>
    <xf numFmtId="2" fontId="6" fillId="8" borderId="0" xfId="3" applyNumberFormat="1" applyFont="1" applyFill="1"/>
    <xf numFmtId="2" fontId="6" fillId="8" borderId="40" xfId="3" applyNumberFormat="1" applyFont="1" applyFill="1" applyBorder="1"/>
    <xf numFmtId="2" fontId="6" fillId="8" borderId="9" xfId="3" applyNumberFormat="1" applyFont="1" applyFill="1" applyBorder="1"/>
    <xf numFmtId="2" fontId="6" fillId="8" borderId="41" xfId="3" applyNumberFormat="1" applyFont="1" applyFill="1" applyBorder="1"/>
    <xf numFmtId="2" fontId="6" fillId="8" borderId="42" xfId="3" applyNumberFormat="1" applyFont="1" applyFill="1" applyBorder="1"/>
    <xf numFmtId="0" fontId="6" fillId="8" borderId="4" xfId="3" applyFont="1" applyFill="1" applyBorder="1"/>
    <xf numFmtId="2" fontId="12" fillId="9" borderId="4" xfId="3" applyNumberFormat="1" applyFont="1" applyFill="1" applyBorder="1"/>
    <xf numFmtId="0" fontId="13" fillId="0" borderId="4" xfId="3" applyFont="1" applyBorder="1"/>
    <xf numFmtId="40" fontId="13" fillId="0" borderId="4" xfId="3" applyNumberFormat="1" applyFont="1" applyBorder="1"/>
    <xf numFmtId="0" fontId="13" fillId="0" borderId="0" xfId="3" applyFont="1"/>
    <xf numFmtId="0" fontId="14" fillId="0" borderId="0" xfId="3" applyFont="1"/>
    <xf numFmtId="2" fontId="6" fillId="9" borderId="4" xfId="3" applyNumberFormat="1" applyFont="1" applyFill="1" applyBorder="1"/>
    <xf numFmtId="170" fontId="6" fillId="0" borderId="0" xfId="3" applyNumberFormat="1" applyFont="1"/>
    <xf numFmtId="2" fontId="12" fillId="0" borderId="0" xfId="3" applyNumberFormat="1" applyFont="1"/>
    <xf numFmtId="0" fontId="15" fillId="0" borderId="4" xfId="3" applyFont="1" applyBorder="1"/>
    <xf numFmtId="0" fontId="15" fillId="0" borderId="0" xfId="3" applyFont="1"/>
    <xf numFmtId="2" fontId="15" fillId="0" borderId="4" xfId="3" applyNumberFormat="1" applyFont="1" applyBorder="1"/>
    <xf numFmtId="10" fontId="6" fillId="0" borderId="4" xfId="3" applyNumberFormat="1" applyFont="1" applyBorder="1"/>
    <xf numFmtId="166" fontId="0" fillId="0" borderId="0" xfId="4" applyNumberFormat="1" applyFont="1"/>
    <xf numFmtId="171" fontId="6" fillId="0" borderId="0" xfId="4" applyNumberFormat="1" applyFont="1"/>
    <xf numFmtId="0" fontId="7" fillId="0" borderId="27" xfId="3" applyFont="1" applyBorder="1"/>
    <xf numFmtId="0" fontId="7" fillId="0" borderId="30" xfId="3" applyFont="1" applyBorder="1"/>
    <xf numFmtId="0" fontId="4" fillId="0" borderId="25" xfId="3" applyBorder="1"/>
    <xf numFmtId="0" fontId="4" fillId="0" borderId="28" xfId="3" applyBorder="1"/>
    <xf numFmtId="10" fontId="6" fillId="0" borderId="4" xfId="4" applyNumberFormat="1" applyFont="1" applyBorder="1"/>
    <xf numFmtId="9" fontId="6" fillId="0" borderId="37" xfId="4" applyFont="1" applyFill="1" applyBorder="1"/>
    <xf numFmtId="10" fontId="15" fillId="0" borderId="0" xfId="4" applyNumberFormat="1" applyFont="1" applyBorder="1"/>
    <xf numFmtId="9" fontId="6" fillId="0" borderId="0" xfId="4" applyFont="1" applyFill="1" applyBorder="1"/>
    <xf numFmtId="173" fontId="6" fillId="0" borderId="4" xfId="5" applyNumberFormat="1" applyFont="1" applyBorder="1"/>
    <xf numFmtId="167" fontId="6" fillId="0" borderId="4" xfId="3" applyNumberFormat="1" applyFont="1" applyBorder="1"/>
    <xf numFmtId="169" fontId="15" fillId="0" borderId="4" xfId="3" applyNumberFormat="1" applyFont="1" applyBorder="1"/>
    <xf numFmtId="2" fontId="6" fillId="0" borderId="4" xfId="3" applyNumberFormat="1" applyFont="1" applyBorder="1" applyAlignment="1">
      <alignment horizontal="right"/>
    </xf>
    <xf numFmtId="2" fontId="11" fillId="0" borderId="4" xfId="3" applyNumberFormat="1" applyFont="1" applyBorder="1"/>
    <xf numFmtId="169" fontId="16" fillId="0" borderId="4" xfId="3" applyNumberFormat="1" applyFont="1" applyBorder="1"/>
    <xf numFmtId="169" fontId="11" fillId="0" borderId="4" xfId="3" applyNumberFormat="1" applyFont="1" applyBorder="1"/>
    <xf numFmtId="0" fontId="11" fillId="0" borderId="0" xfId="3" applyFont="1"/>
    <xf numFmtId="0" fontId="11" fillId="0" borderId="4" xfId="3" applyFont="1" applyBorder="1"/>
    <xf numFmtId="0" fontId="17" fillId="0" borderId="0" xfId="3" applyFont="1"/>
    <xf numFmtId="169" fontId="11" fillId="0" borderId="4" xfId="3" applyNumberFormat="1" applyFont="1" applyBorder="1" applyAlignment="1">
      <alignment horizontal="right"/>
    </xf>
    <xf numFmtId="169" fontId="6" fillId="0" borderId="0" xfId="3" applyNumberFormat="1" applyFont="1" applyAlignment="1">
      <alignment horizontal="right"/>
    </xf>
    <xf numFmtId="0" fontId="6" fillId="2" borderId="39" xfId="3" applyFont="1" applyFill="1" applyBorder="1"/>
    <xf numFmtId="40" fontId="6" fillId="2" borderId="15" xfId="3" applyNumberFormat="1" applyFont="1" applyFill="1" applyBorder="1"/>
    <xf numFmtId="0" fontId="6" fillId="2" borderId="0" xfId="3" applyFont="1" applyFill="1"/>
    <xf numFmtId="40" fontId="6" fillId="2" borderId="40" xfId="3" applyNumberFormat="1" applyFont="1" applyFill="1" applyBorder="1"/>
    <xf numFmtId="0" fontId="6" fillId="2" borderId="41" xfId="3" applyFont="1" applyFill="1" applyBorder="1"/>
    <xf numFmtId="40" fontId="6" fillId="2" borderId="42" xfId="3" applyNumberFormat="1" applyFont="1" applyFill="1" applyBorder="1"/>
    <xf numFmtId="174" fontId="15" fillId="0" borderId="4" xfId="5" applyNumberFormat="1" applyFont="1" applyBorder="1"/>
    <xf numFmtId="172" fontId="15" fillId="0" borderId="4" xfId="5" applyFont="1" applyBorder="1"/>
    <xf numFmtId="167" fontId="15" fillId="0" borderId="8" xfId="3" applyNumberFormat="1" applyFont="1" applyBorder="1"/>
    <xf numFmtId="172" fontId="15" fillId="0" borderId="8" xfId="5" applyFont="1" applyBorder="1"/>
    <xf numFmtId="2" fontId="15" fillId="0" borderId="8" xfId="3" applyNumberFormat="1" applyFont="1" applyBorder="1"/>
    <xf numFmtId="0" fontId="15" fillId="4" borderId="4" xfId="3" applyFont="1" applyFill="1" applyBorder="1"/>
    <xf numFmtId="0" fontId="15" fillId="4" borderId="5" xfId="3" applyFont="1" applyFill="1" applyBorder="1"/>
    <xf numFmtId="169" fontId="15" fillId="2" borderId="39" xfId="3" applyNumberFormat="1" applyFont="1" applyFill="1" applyBorder="1"/>
    <xf numFmtId="169" fontId="15" fillId="2" borderId="15" xfId="3" applyNumberFormat="1" applyFont="1" applyFill="1" applyBorder="1"/>
    <xf numFmtId="2" fontId="15" fillId="2" borderId="0" xfId="3" applyNumberFormat="1" applyFont="1" applyFill="1"/>
    <xf numFmtId="2" fontId="15" fillId="2" borderId="40" xfId="3" applyNumberFormat="1" applyFont="1" applyFill="1" applyBorder="1"/>
    <xf numFmtId="2" fontId="15" fillId="2" borderId="41" xfId="3" applyNumberFormat="1" applyFont="1" applyFill="1" applyBorder="1"/>
    <xf numFmtId="169" fontId="15" fillId="2" borderId="42" xfId="3" applyNumberFormat="1" applyFont="1" applyFill="1" applyBorder="1"/>
    <xf numFmtId="2" fontId="6" fillId="10" borderId="4" xfId="3" applyNumberFormat="1" applyFont="1" applyFill="1" applyBorder="1"/>
    <xf numFmtId="2" fontId="6" fillId="10" borderId="38" xfId="3" applyNumberFormat="1" applyFont="1" applyFill="1" applyBorder="1"/>
    <xf numFmtId="2" fontId="6" fillId="10" borderId="39" xfId="3" applyNumberFormat="1" applyFont="1" applyFill="1" applyBorder="1"/>
    <xf numFmtId="2" fontId="6" fillId="10" borderId="15" xfId="3" applyNumberFormat="1" applyFont="1" applyFill="1" applyBorder="1"/>
    <xf numFmtId="2" fontId="6" fillId="10" borderId="22" xfId="3" applyNumberFormat="1" applyFont="1" applyFill="1" applyBorder="1"/>
    <xf numFmtId="2" fontId="6" fillId="10" borderId="0" xfId="3" applyNumberFormat="1" applyFont="1" applyFill="1"/>
    <xf numFmtId="2" fontId="6" fillId="10" borderId="40" xfId="3" applyNumberFormat="1" applyFont="1" applyFill="1" applyBorder="1"/>
    <xf numFmtId="2" fontId="6" fillId="10" borderId="20" xfId="3" applyNumberFormat="1" applyFont="1" applyFill="1" applyBorder="1"/>
    <xf numFmtId="2" fontId="6" fillId="10" borderId="41" xfId="3" applyNumberFormat="1" applyFont="1" applyFill="1" applyBorder="1"/>
    <xf numFmtId="2" fontId="6" fillId="10" borderId="42" xfId="3" applyNumberFormat="1" applyFont="1" applyFill="1" applyBorder="1"/>
    <xf numFmtId="0" fontId="6" fillId="10" borderId="4" xfId="3" applyFont="1" applyFill="1" applyBorder="1"/>
    <xf numFmtId="0" fontId="15" fillId="10" borderId="4" xfId="3" applyFont="1" applyFill="1" applyBorder="1"/>
    <xf numFmtId="2" fontId="15" fillId="10" borderId="4" xfId="3" applyNumberFormat="1" applyFont="1" applyFill="1" applyBorder="1"/>
    <xf numFmtId="0" fontId="4" fillId="10" borderId="0" xfId="3" applyFill="1"/>
    <xf numFmtId="2" fontId="12" fillId="0" borderId="4" xfId="3" applyNumberFormat="1" applyFont="1" applyBorder="1"/>
    <xf numFmtId="172" fontId="6" fillId="0" borderId="0" xfId="5" applyFont="1"/>
    <xf numFmtId="9" fontId="15" fillId="0" borderId="0" xfId="4" applyFont="1"/>
    <xf numFmtId="9" fontId="4" fillId="0" borderId="0" xfId="3" applyNumberFormat="1"/>
    <xf numFmtId="9" fontId="0" fillId="0" borderId="0" xfId="4" applyFont="1"/>
    <xf numFmtId="2" fontId="7" fillId="2" borderId="4" xfId="3" applyNumberFormat="1" applyFont="1" applyFill="1" applyBorder="1"/>
    <xf numFmtId="167" fontId="10" fillId="2" borderId="4" xfId="3" applyNumberFormat="1" applyFont="1" applyFill="1" applyBorder="1"/>
  </cellXfs>
  <cellStyles count="6">
    <cellStyle name="Millares" xfId="1" builtinId="3"/>
    <cellStyle name="Millares 2" xfId="5" xr:uid="{177DD1F6-5132-4803-BAFB-2A4A422132A4}"/>
    <cellStyle name="Normal" xfId="0" builtinId="0"/>
    <cellStyle name="Normal 2" xfId="3" xr:uid="{1088B5BE-3987-4980-9040-6D8DB2DB719A}"/>
    <cellStyle name="Porcentaje" xfId="2" builtinId="5"/>
    <cellStyle name="Porcentaje 2" xfId="4" xr:uid="{74EDE72E-365C-46ED-BDE0-7045B3B20D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ingresos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'[1]2021I N'!$D$63:$S$63</c:f>
              <c:numCache>
                <c:formatCode>General</c:formatCode>
                <c:ptCount val="16"/>
                <c:pt idx="0">
                  <c:v>117.75515259327715</c:v>
                </c:pt>
                <c:pt idx="1">
                  <c:v>183.20205227100334</c:v>
                </c:pt>
                <c:pt idx="2">
                  <c:v>246.37608244282896</c:v>
                </c:pt>
                <c:pt idx="3">
                  <c:v>300.50204124327047</c:v>
                </c:pt>
                <c:pt idx="4">
                  <c:v>343.29049615513225</c:v>
                </c:pt>
                <c:pt idx="5">
                  <c:v>375.33226594465782</c:v>
                </c:pt>
                <c:pt idx="6">
                  <c:v>398.46810505100274</c:v>
                </c:pt>
                <c:pt idx="7">
                  <c:v>414.76959563235499</c:v>
                </c:pt>
                <c:pt idx="8">
                  <c:v>426.06850272895878</c:v>
                </c:pt>
                <c:pt idx="9">
                  <c:v>433.81418835255568</c:v>
                </c:pt>
                <c:pt idx="10">
                  <c:v>439.08495027690662</c:v>
                </c:pt>
                <c:pt idx="11">
                  <c:v>442.65385045613897</c:v>
                </c:pt>
                <c:pt idx="12">
                  <c:v>445.06238080359992</c:v>
                </c:pt>
                <c:pt idx="13">
                  <c:v>446.68419914844861</c:v>
                </c:pt>
                <c:pt idx="14">
                  <c:v>447.77464370544459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F2-44D2-B565-80ED20E9B3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334768"/>
        <c:axId val="1633108480"/>
      </c:lineChart>
      <c:catAx>
        <c:axId val="162733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33108480"/>
        <c:crosses val="autoZero"/>
        <c:auto val="1"/>
        <c:lblAlgn val="ctr"/>
        <c:lblOffset val="100"/>
        <c:noMultiLvlLbl val="0"/>
      </c:catAx>
      <c:valAx>
        <c:axId val="16331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62733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Economico!$H$11:$L$11</c:f>
              <c:numCache>
                <c:formatCode>0.00</c:formatCode>
                <c:ptCount val="5"/>
                <c:pt idx="0">
                  <c:v>43.92</c:v>
                </c:pt>
                <c:pt idx="1">
                  <c:v>46.44</c:v>
                </c:pt>
                <c:pt idx="2">
                  <c:v>48.95</c:v>
                </c:pt>
                <c:pt idx="3">
                  <c:v>51.47</c:v>
                </c:pt>
                <c:pt idx="4">
                  <c:v>53.99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3-4A6F-A965-3A7168101E5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Economico!$H$12:$L$12</c:f>
              <c:numCache>
                <c:formatCode>0.00</c:formatCode>
                <c:ptCount val="5"/>
                <c:pt idx="0">
                  <c:v>51.27</c:v>
                </c:pt>
                <c:pt idx="1">
                  <c:v>56.42</c:v>
                </c:pt>
                <c:pt idx="2">
                  <c:v>61.98</c:v>
                </c:pt>
                <c:pt idx="3">
                  <c:v>67.97</c:v>
                </c:pt>
                <c:pt idx="4">
                  <c:v>74.42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3-4A6F-A965-3A7168101E5B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Economico!$H$13:$L$13</c:f>
              <c:numCache>
                <c:formatCode>General</c:formatCode>
                <c:ptCount val="5"/>
                <c:pt idx="0">
                  <c:v>36.44</c:v>
                </c:pt>
                <c:pt idx="1">
                  <c:v>37.630000000000003</c:v>
                </c:pt>
                <c:pt idx="2">
                  <c:v>38.770000000000003</c:v>
                </c:pt>
                <c:pt idx="3">
                  <c:v>39.880000000000003</c:v>
                </c:pt>
                <c:pt idx="4">
                  <c:v>40.950000000000003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23-4A6F-A965-3A7168101E5B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Economico!$H$14:$L$14</c:f>
              <c:numCache>
                <c:formatCode>General</c:formatCode>
                <c:ptCount val="5"/>
                <c:pt idx="0">
                  <c:v>54.08</c:v>
                </c:pt>
                <c:pt idx="1">
                  <c:v>60.36</c:v>
                </c:pt>
                <c:pt idx="2">
                  <c:v>67.36</c:v>
                </c:pt>
                <c:pt idx="3">
                  <c:v>75.180000000000007</c:v>
                </c:pt>
                <c:pt idx="4" formatCode="0.00">
                  <c:v>83.9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23-4A6F-A965-3A7168101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8255776"/>
        <c:axId val="278247456"/>
      </c:lineChart>
      <c:catAx>
        <c:axId val="27825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8247456"/>
        <c:crosses val="autoZero"/>
        <c:auto val="1"/>
        <c:lblAlgn val="ctr"/>
        <c:lblOffset val="100"/>
        <c:noMultiLvlLbl val="0"/>
      </c:catAx>
      <c:valAx>
        <c:axId val="27824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7825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</xdr:row>
      <xdr:rowOff>0</xdr:rowOff>
    </xdr:from>
    <xdr:to>
      <xdr:col>10</xdr:col>
      <xdr:colOff>514190</xdr:colOff>
      <xdr:row>14</xdr:row>
      <xdr:rowOff>144929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A7142A-7C52-4F8B-A1D5-0CCFE8E8E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2228850"/>
          <a:ext cx="1276190" cy="513229"/>
        </a:xfrm>
        <a:prstGeom prst="rect">
          <a:avLst/>
        </a:prstGeom>
      </xdr:spPr>
    </xdr:pic>
    <xdr:clientData/>
  </xdr:twoCellAnchor>
  <xdr:twoCellAnchor editAs="oneCell">
    <xdr:from>
      <xdr:col>8</xdr:col>
      <xdr:colOff>698500</xdr:colOff>
      <xdr:row>18</xdr:row>
      <xdr:rowOff>137583</xdr:rowOff>
    </xdr:from>
    <xdr:to>
      <xdr:col>10</xdr:col>
      <xdr:colOff>536405</xdr:colOff>
      <xdr:row>21</xdr:row>
      <xdr:rowOff>169262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C8768C-B4C5-4619-A319-3B6779625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4500" y="3471333"/>
          <a:ext cx="1361905" cy="58412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10</xdr:col>
      <xdr:colOff>294952</xdr:colOff>
      <xdr:row>41</xdr:row>
      <xdr:rowOff>59215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F582353-63C4-47D9-9E99-BE13B1CA5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34000" y="7213600"/>
          <a:ext cx="2580952" cy="42751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10</xdr:col>
      <xdr:colOff>142571</xdr:colOff>
      <xdr:row>47</xdr:row>
      <xdr:rowOff>172464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6005BDE-3CF3-4265-99BE-EB45C32D9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8502650"/>
          <a:ext cx="2428571" cy="3566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418193</xdr:colOff>
      <xdr:row>2</xdr:row>
      <xdr:rowOff>318406</xdr:rowOff>
    </xdr:from>
    <xdr:to>
      <xdr:col>15</xdr:col>
      <xdr:colOff>201386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3E00B1-F2E0-4DA2-9576-D446B7E7B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119743</xdr:colOff>
      <xdr:row>8</xdr:row>
      <xdr:rowOff>13244</xdr:rowOff>
    </xdr:from>
    <xdr:ext cx="1295853" cy="471773"/>
    <xdr:pic>
      <xdr:nvPicPr>
        <xdr:cNvPr id="3" name="Imagen 2">
          <a:extLst>
            <a:ext uri="{FF2B5EF4-FFF2-40B4-BE49-F238E27FC236}">
              <a16:creationId xmlns:a16="http://schemas.microsoft.com/office/drawing/2014/main" id="{79BD1678-FD22-42C0-9C93-642BE103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993" y="7588794"/>
          <a:ext cx="1295853" cy="471773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21167</xdr:colOff>
      <xdr:row>12</xdr:row>
      <xdr:rowOff>74083</xdr:rowOff>
    </xdr:from>
    <xdr:to>
      <xdr:col>14</xdr:col>
      <xdr:colOff>10583</xdr:colOff>
      <xdr:row>12</xdr:row>
      <xdr:rowOff>75671</xdr:rowOff>
    </xdr:to>
    <xdr:cxnSp macro="">
      <xdr:nvCxnSpPr>
        <xdr:cNvPr id="2" name="2 Conector recto de flecha">
          <a:extLst>
            <a:ext uri="{FF2B5EF4-FFF2-40B4-BE49-F238E27FC236}">
              <a16:creationId xmlns:a16="http://schemas.microsoft.com/office/drawing/2014/main" id="{089B5DAB-25FB-4221-85AC-70D94CA1C9C3}"/>
            </a:ext>
          </a:extLst>
        </xdr:cNvPr>
        <xdr:cNvCxnSpPr/>
      </xdr:nvCxnSpPr>
      <xdr:spPr>
        <a:xfrm rot="10800000">
          <a:off x="5475817" y="2010833"/>
          <a:ext cx="45931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14817</xdr:colOff>
      <xdr:row>13</xdr:row>
      <xdr:rowOff>67733</xdr:rowOff>
    </xdr:from>
    <xdr:to>
      <xdr:col>14</xdr:col>
      <xdr:colOff>4233</xdr:colOff>
      <xdr:row>13</xdr:row>
      <xdr:rowOff>69321</xdr:rowOff>
    </xdr:to>
    <xdr:cxnSp macro="">
      <xdr:nvCxnSpPr>
        <xdr:cNvPr id="3" name="3 Conector recto de flecha">
          <a:extLst>
            <a:ext uri="{FF2B5EF4-FFF2-40B4-BE49-F238E27FC236}">
              <a16:creationId xmlns:a16="http://schemas.microsoft.com/office/drawing/2014/main" id="{2AA91ADA-7243-4872-8A77-034C70DC8290}"/>
            </a:ext>
          </a:extLst>
        </xdr:cNvPr>
        <xdr:cNvCxnSpPr/>
      </xdr:nvCxnSpPr>
      <xdr:spPr>
        <a:xfrm rot="10800000">
          <a:off x="5469467" y="2163233"/>
          <a:ext cx="459316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134056</xdr:colOff>
      <xdr:row>47</xdr:row>
      <xdr:rowOff>91722</xdr:rowOff>
    </xdr:from>
    <xdr:to>
      <xdr:col>17</xdr:col>
      <xdr:colOff>451556</xdr:colOff>
      <xdr:row>47</xdr:row>
      <xdr:rowOff>105833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501AB091-5A93-4C9A-9FA0-AC534CEB6FB2}"/>
            </a:ext>
          </a:extLst>
        </xdr:cNvPr>
        <xdr:cNvCxnSpPr/>
      </xdr:nvCxnSpPr>
      <xdr:spPr>
        <a:xfrm flipV="1">
          <a:off x="5588706" y="7591072"/>
          <a:ext cx="2197100" cy="141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230909</xdr:colOff>
      <xdr:row>46</xdr:row>
      <xdr:rowOff>46182</xdr:rowOff>
    </xdr:from>
    <xdr:to>
      <xdr:col>14</xdr:col>
      <xdr:colOff>236682</xdr:colOff>
      <xdr:row>49</xdr:row>
      <xdr:rowOff>5773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043DCE55-7933-4E72-9A21-FF698DB4234E}"/>
            </a:ext>
          </a:extLst>
        </xdr:cNvPr>
        <xdr:cNvCxnSpPr/>
      </xdr:nvCxnSpPr>
      <xdr:spPr>
        <a:xfrm flipH="1">
          <a:off x="6155459" y="7386782"/>
          <a:ext cx="5773" cy="43584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207818</xdr:colOff>
      <xdr:row>7</xdr:row>
      <xdr:rowOff>152400</xdr:rowOff>
    </xdr:from>
    <xdr:to>
      <xdr:col>28</xdr:col>
      <xdr:colOff>72736</xdr:colOff>
      <xdr:row>19</xdr:row>
      <xdr:rowOff>155864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8D3E3A2-33EB-4F94-99DB-C20ACA7D0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105834</xdr:colOff>
      <xdr:row>54</xdr:row>
      <xdr:rowOff>42333</xdr:rowOff>
    </xdr:from>
    <xdr:to>
      <xdr:col>22</xdr:col>
      <xdr:colOff>42334</xdr:colOff>
      <xdr:row>54</xdr:row>
      <xdr:rowOff>42333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35885FCB-99B8-44C8-9464-F5CBA6E89143}"/>
            </a:ext>
          </a:extLst>
        </xdr:cNvPr>
        <xdr:cNvCxnSpPr/>
      </xdr:nvCxnSpPr>
      <xdr:spPr>
        <a:xfrm>
          <a:off x="8671984" y="8646583"/>
          <a:ext cx="19621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518584</xdr:colOff>
      <xdr:row>51</xdr:row>
      <xdr:rowOff>114300</xdr:rowOff>
    </xdr:from>
    <xdr:to>
      <xdr:col>16</xdr:col>
      <xdr:colOff>527050</xdr:colOff>
      <xdr:row>55</xdr:row>
      <xdr:rowOff>31750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459CA94D-1C00-4C69-B88F-512181DD8907}"/>
            </a:ext>
          </a:extLst>
        </xdr:cNvPr>
        <xdr:cNvCxnSpPr/>
      </xdr:nvCxnSpPr>
      <xdr:spPr>
        <a:xfrm flipH="1">
          <a:off x="7859184" y="8242300"/>
          <a:ext cx="8466" cy="552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sinergmin-my.sharepoint.com/personal/jsalvador_osinergmin_gob_pe/Documents/UNI_cursos/BEG06%20New/Capitulo%206%20Flujo%20de%20caja/_BEG06N-Tercera%20PC%202021_I-solucionario.xlsx" TargetMode="External"/><Relationship Id="rId1" Type="http://schemas.openxmlformats.org/officeDocument/2006/relationships/externalLinkPath" Target="https://osinergmin-my.sharepoint.com/personal/jsalvador_osinergmin_gob_pe/Documents/UNI_cursos/BEG06%20New/Capitulo%206%20Flujo%20de%20caja/_BEG06N-Tercera%20PC%202021_I-solucionar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ersonal\Docencia\UNI\BEG06%20New\Capitulo%206%20Flujo%20de%20caja\S6%20Ejercicios.xlsx" TargetMode="External"/><Relationship Id="rId1" Type="http://schemas.openxmlformats.org/officeDocument/2006/relationships/externalLinkPath" Target="S6%20Ejercic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I N"/>
      <sheetName val="Hoja1"/>
    </sheetNames>
    <sheetDataSet>
      <sheetData sheetId="0">
        <row r="63">
          <cell r="D63">
            <v>117.75515259327715</v>
          </cell>
          <cell r="E63">
            <v>183.20205227100334</v>
          </cell>
          <cell r="F63">
            <v>246.37608244282896</v>
          </cell>
          <cell r="G63">
            <v>300.50204124327047</v>
          </cell>
          <cell r="H63">
            <v>343.29049615513225</v>
          </cell>
          <cell r="I63">
            <v>375.33226594465782</v>
          </cell>
          <cell r="J63">
            <v>398.46810505100274</v>
          </cell>
          <cell r="K63">
            <v>414.76959563235499</v>
          </cell>
          <cell r="L63">
            <v>426.06850272895878</v>
          </cell>
          <cell r="M63">
            <v>433.81418835255568</v>
          </cell>
          <cell r="N63">
            <v>439.08495027690662</v>
          </cell>
          <cell r="O63">
            <v>442.65385045613897</v>
          </cell>
          <cell r="P63">
            <v>445.06238080359992</v>
          </cell>
          <cell r="Q63">
            <v>446.68419914844861</v>
          </cell>
          <cell r="R63">
            <v>447.77464370544459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rucción enunciado"/>
      <sheetName val="Construccion desarrollo"/>
      <sheetName val="Enunciado 1"/>
      <sheetName val="Parte a"/>
      <sheetName val="Parte b"/>
      <sheetName val="Enunciado 2"/>
      <sheetName val="Sol Enunc 2"/>
    </sheetNames>
    <sheetDataSet>
      <sheetData sheetId="0" refreshError="1"/>
      <sheetData sheetId="1" refreshError="1"/>
      <sheetData sheetId="2" refreshError="1"/>
      <sheetData sheetId="3">
        <row r="11">
          <cell r="H11">
            <v>43.92</v>
          </cell>
          <cell r="I11">
            <v>46.44</v>
          </cell>
          <cell r="J11">
            <v>48.95</v>
          </cell>
          <cell r="K11">
            <v>51.47</v>
          </cell>
          <cell r="L11">
            <v>53.99</v>
          </cell>
        </row>
        <row r="12">
          <cell r="H12">
            <v>51.27</v>
          </cell>
          <cell r="I12">
            <v>56.42</v>
          </cell>
          <cell r="J12">
            <v>61.98</v>
          </cell>
          <cell r="K12">
            <v>67.97</v>
          </cell>
          <cell r="L12">
            <v>74.42</v>
          </cell>
        </row>
        <row r="13">
          <cell r="H13">
            <v>36.44</v>
          </cell>
          <cell r="I13">
            <v>37.630000000000003</v>
          </cell>
          <cell r="J13">
            <v>38.770000000000003</v>
          </cell>
          <cell r="K13">
            <v>39.880000000000003</v>
          </cell>
          <cell r="L13">
            <v>40.950000000000003</v>
          </cell>
        </row>
        <row r="14">
          <cell r="H14">
            <v>54.08</v>
          </cell>
          <cell r="I14">
            <v>60.36</v>
          </cell>
          <cell r="J14">
            <v>67.36</v>
          </cell>
          <cell r="K14">
            <v>75.180000000000007</v>
          </cell>
          <cell r="L14">
            <v>83.9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4860-9F33-4DAA-94AA-6062244ACEA8}">
  <dimension ref="A1:P52"/>
  <sheetViews>
    <sheetView workbookViewId="0">
      <selection activeCell="E6" sqref="E6"/>
    </sheetView>
  </sheetViews>
  <sheetFormatPr baseColWidth="10" defaultRowHeight="14.5" x14ac:dyDescent="0.35"/>
  <sheetData>
    <row r="1" spans="1:8" x14ac:dyDescent="0.35">
      <c r="A1" t="s">
        <v>111</v>
      </c>
    </row>
    <row r="2" spans="1:8" ht="15" thickBot="1" x14ac:dyDescent="0.4">
      <c r="A2" t="s">
        <v>0</v>
      </c>
    </row>
    <row r="3" spans="1:8" x14ac:dyDescent="0.35">
      <c r="B3" s="1" t="s">
        <v>1</v>
      </c>
      <c r="D3" s="1" t="s">
        <v>2</v>
      </c>
    </row>
    <row r="4" spans="1:8" x14ac:dyDescent="0.35">
      <c r="B4" s="2" t="s">
        <v>3</v>
      </c>
      <c r="D4" s="2" t="s">
        <v>4</v>
      </c>
    </row>
    <row r="5" spans="1:8" ht="15" thickBot="1" x14ac:dyDescent="0.4">
      <c r="B5" s="2" t="s">
        <v>5</v>
      </c>
      <c r="D5" s="3" t="s">
        <v>6</v>
      </c>
    </row>
    <row r="6" spans="1:8" ht="15" thickBot="1" x14ac:dyDescent="0.4">
      <c r="B6" s="3" t="s">
        <v>7</v>
      </c>
    </row>
    <row r="7" spans="1:8" x14ac:dyDescent="0.35">
      <c r="B7" s="4" t="s">
        <v>8</v>
      </c>
      <c r="D7" s="4" t="s">
        <v>9</v>
      </c>
    </row>
    <row r="10" spans="1:8" x14ac:dyDescent="0.35">
      <c r="A10" s="4" t="s">
        <v>10</v>
      </c>
    </row>
    <row r="12" spans="1:8" x14ac:dyDescent="0.35">
      <c r="A12" s="5"/>
      <c r="B12" s="6" t="s">
        <v>11</v>
      </c>
      <c r="C12" s="7"/>
      <c r="D12" s="7"/>
      <c r="E12" s="7"/>
      <c r="F12" s="8"/>
    </row>
    <row r="13" spans="1:8" x14ac:dyDescent="0.35">
      <c r="A13" s="9" t="s">
        <v>12</v>
      </c>
      <c r="B13" s="9" t="s">
        <v>1</v>
      </c>
      <c r="C13" s="9" t="s">
        <v>3</v>
      </c>
      <c r="D13" s="9" t="s">
        <v>5</v>
      </c>
      <c r="E13" s="9" t="s">
        <v>7</v>
      </c>
      <c r="F13" s="10" t="s">
        <v>13</v>
      </c>
      <c r="G13" s="9" t="s">
        <v>14</v>
      </c>
      <c r="H13" s="9" t="s">
        <v>15</v>
      </c>
    </row>
    <row r="14" spans="1:8" x14ac:dyDescent="0.35">
      <c r="A14" s="9" t="s">
        <v>16</v>
      </c>
      <c r="B14" s="5">
        <v>9.1</v>
      </c>
      <c r="C14" s="5">
        <v>10.7</v>
      </c>
      <c r="D14" s="5">
        <v>3.2</v>
      </c>
      <c r="E14" s="5">
        <v>7.5</v>
      </c>
      <c r="F14" s="11">
        <f>+SUM(B14:E14)</f>
        <v>30.499999999999996</v>
      </c>
      <c r="G14" s="12">
        <f>1/F14</f>
        <v>3.2786885245901641E-2</v>
      </c>
      <c r="H14" s="12">
        <f>+G14/$G$17</f>
        <v>0.34192749189192867</v>
      </c>
    </row>
    <row r="15" spans="1:8" x14ac:dyDescent="0.35">
      <c r="A15" s="9" t="s">
        <v>17</v>
      </c>
      <c r="B15" s="5">
        <v>9.6999999999999993</v>
      </c>
      <c r="C15" s="5">
        <v>10.3</v>
      </c>
      <c r="D15" s="5">
        <v>3.8</v>
      </c>
      <c r="E15" s="5">
        <v>7.5</v>
      </c>
      <c r="F15" s="11">
        <f t="shared" ref="F15:F16" si="0">+SUM(B15:E15)</f>
        <v>31.3</v>
      </c>
      <c r="G15" s="12">
        <f t="shared" ref="G15:G16" si="1">1/F15</f>
        <v>3.1948881789137379E-2</v>
      </c>
      <c r="H15" s="12">
        <f t="shared" ref="H15:H16" si="2">+G15/$G$17</f>
        <v>0.33318813107679945</v>
      </c>
    </row>
    <row r="16" spans="1:8" x14ac:dyDescent="0.35">
      <c r="A16" s="9" t="s">
        <v>18</v>
      </c>
      <c r="B16" s="5">
        <v>8.9</v>
      </c>
      <c r="C16" s="5">
        <v>11.8</v>
      </c>
      <c r="D16" s="5">
        <v>3.9</v>
      </c>
      <c r="E16" s="5">
        <v>7.5</v>
      </c>
      <c r="F16" s="11">
        <f t="shared" si="0"/>
        <v>32.1</v>
      </c>
      <c r="G16" s="12">
        <f t="shared" si="1"/>
        <v>3.1152647975077882E-2</v>
      </c>
      <c r="H16" s="12">
        <f t="shared" si="2"/>
        <v>0.32488437703127176</v>
      </c>
    </row>
    <row r="17" spans="1:16" x14ac:dyDescent="0.35">
      <c r="G17" s="12">
        <f>+SUM(G14:G16)</f>
        <v>9.5888415010116912E-2</v>
      </c>
      <c r="H17" s="12">
        <f>+SUM(H14:H16)</f>
        <v>0.99999999999999978</v>
      </c>
    </row>
    <row r="19" spans="1:16" x14ac:dyDescent="0.35">
      <c r="A19" s="4" t="s">
        <v>19</v>
      </c>
    </row>
    <row r="20" spans="1:16" x14ac:dyDescent="0.35">
      <c r="A20" t="s">
        <v>20</v>
      </c>
    </row>
    <row r="21" spans="1:16" x14ac:dyDescent="0.35">
      <c r="A21" s="13" t="s">
        <v>21</v>
      </c>
      <c r="B21" s="14" t="s">
        <v>22</v>
      </c>
      <c r="C21" s="14"/>
      <c r="D21" s="14"/>
      <c r="E21" s="15" t="s">
        <v>23</v>
      </c>
      <c r="F21" s="13" t="s">
        <v>24</v>
      </c>
    </row>
    <row r="22" spans="1:16" x14ac:dyDescent="0.35">
      <c r="A22" s="16"/>
      <c r="B22" s="9">
        <v>1</v>
      </c>
      <c r="C22" s="9">
        <v>2</v>
      </c>
      <c r="D22" s="9">
        <v>3</v>
      </c>
      <c r="E22" s="16"/>
      <c r="F22" s="16"/>
    </row>
    <row r="23" spans="1:16" x14ac:dyDescent="0.35">
      <c r="A23" s="9" t="s">
        <v>2</v>
      </c>
      <c r="B23" s="5">
        <v>1</v>
      </c>
      <c r="C23" s="5">
        <v>1</v>
      </c>
      <c r="D23" s="5"/>
      <c r="E23" s="5">
        <f>+SUM(B23:D23)</f>
        <v>2</v>
      </c>
      <c r="F23" s="17">
        <f>+E23/$E$26</f>
        <v>0.5</v>
      </c>
    </row>
    <row r="24" spans="1:16" x14ac:dyDescent="0.35">
      <c r="A24" s="9" t="s">
        <v>25</v>
      </c>
      <c r="B24" s="5">
        <v>0</v>
      </c>
      <c r="C24" s="5"/>
      <c r="D24" s="5">
        <v>1</v>
      </c>
      <c r="E24" s="5">
        <f t="shared" ref="E24:E25" si="3">+SUM(B24:D24)</f>
        <v>1</v>
      </c>
      <c r="F24" s="5">
        <f t="shared" ref="F24:F25" si="4">+E24/$E$26</f>
        <v>0.25</v>
      </c>
    </row>
    <row r="25" spans="1:16" x14ac:dyDescent="0.35">
      <c r="A25" s="9" t="s">
        <v>26</v>
      </c>
      <c r="B25" s="5"/>
      <c r="C25" s="5">
        <v>0</v>
      </c>
      <c r="D25" s="5">
        <v>1</v>
      </c>
      <c r="E25" s="5">
        <f t="shared" si="3"/>
        <v>1</v>
      </c>
      <c r="F25" s="5">
        <f t="shared" si="4"/>
        <v>0.25</v>
      </c>
    </row>
    <row r="26" spans="1:16" x14ac:dyDescent="0.35">
      <c r="E26" s="5">
        <f>+SUM(E23:E25)</f>
        <v>4</v>
      </c>
      <c r="F26" s="5">
        <f>+SUM(F23:F25)</f>
        <v>1</v>
      </c>
    </row>
    <row r="28" spans="1:16" x14ac:dyDescent="0.35">
      <c r="A28" s="4" t="s">
        <v>27</v>
      </c>
    </row>
    <row r="29" spans="1:16" ht="15" thickBot="1" x14ac:dyDescent="0.4">
      <c r="A29" s="4"/>
    </row>
    <row r="30" spans="1:16" x14ac:dyDescent="0.35">
      <c r="A30" s="4" t="s">
        <v>28</v>
      </c>
      <c r="B30" s="18" t="s">
        <v>2</v>
      </c>
      <c r="C30" s="19"/>
      <c r="D30" s="19"/>
      <c r="E30" s="19"/>
      <c r="F30" s="20"/>
      <c r="G30" s="18" t="s">
        <v>25</v>
      </c>
      <c r="H30" s="19"/>
      <c r="I30" s="19"/>
      <c r="J30" s="19"/>
      <c r="K30" s="20"/>
      <c r="L30" s="18" t="s">
        <v>26</v>
      </c>
      <c r="M30" s="19"/>
      <c r="N30" s="19"/>
      <c r="O30" s="19"/>
      <c r="P30" s="20"/>
    </row>
    <row r="31" spans="1:16" x14ac:dyDescent="0.35">
      <c r="B31" s="21" t="s">
        <v>22</v>
      </c>
      <c r="C31" s="14"/>
      <c r="D31" s="14"/>
      <c r="E31" s="9"/>
      <c r="F31" s="22"/>
      <c r="G31" s="21" t="s">
        <v>22</v>
      </c>
      <c r="H31" s="14"/>
      <c r="I31" s="14"/>
      <c r="J31" s="9"/>
      <c r="K31" s="22"/>
      <c r="L31" s="21" t="s">
        <v>22</v>
      </c>
      <c r="M31" s="14"/>
      <c r="N31" s="14"/>
      <c r="O31" s="9"/>
      <c r="P31" s="22"/>
    </row>
    <row r="32" spans="1:16" x14ac:dyDescent="0.35">
      <c r="A32" s="5" t="s">
        <v>29</v>
      </c>
      <c r="B32" s="23">
        <v>1</v>
      </c>
      <c r="C32" s="24">
        <v>2</v>
      </c>
      <c r="D32" s="24">
        <v>3</v>
      </c>
      <c r="E32" s="24" t="s">
        <v>30</v>
      </c>
      <c r="F32" s="25" t="s">
        <v>31</v>
      </c>
      <c r="G32" s="26">
        <v>1</v>
      </c>
      <c r="H32" s="5">
        <v>2</v>
      </c>
      <c r="I32" s="5">
        <v>3</v>
      </c>
      <c r="J32" s="5" t="s">
        <v>32</v>
      </c>
      <c r="K32" s="27" t="s">
        <v>33</v>
      </c>
      <c r="L32" s="26">
        <v>1</v>
      </c>
      <c r="M32" s="5">
        <v>2</v>
      </c>
      <c r="N32" s="5">
        <v>3</v>
      </c>
      <c r="O32" s="5" t="s">
        <v>32</v>
      </c>
      <c r="P32" s="27" t="s">
        <v>34</v>
      </c>
    </row>
    <row r="33" spans="1:16" x14ac:dyDescent="0.35">
      <c r="A33" s="11" t="s">
        <v>16</v>
      </c>
      <c r="B33" s="26">
        <v>1</v>
      </c>
      <c r="C33" s="5">
        <v>1</v>
      </c>
      <c r="D33" s="5"/>
      <c r="E33" s="5">
        <f>+SUM(B33:D33)</f>
        <v>2</v>
      </c>
      <c r="F33" s="27">
        <f>+E33/$E$36</f>
        <v>0.5</v>
      </c>
      <c r="G33" s="26">
        <v>0</v>
      </c>
      <c r="H33" s="5">
        <v>0</v>
      </c>
      <c r="I33" s="5"/>
      <c r="J33" s="5">
        <f>+SUM(G33:I33)</f>
        <v>0</v>
      </c>
      <c r="K33" s="27">
        <f>+J33/$J$36</f>
        <v>0</v>
      </c>
      <c r="L33" s="26">
        <v>0</v>
      </c>
      <c r="M33" s="5">
        <v>0</v>
      </c>
      <c r="N33" s="5"/>
      <c r="O33" s="5">
        <f>+SUM(L33:N33)</f>
        <v>0</v>
      </c>
      <c r="P33" s="28">
        <f>+O33/$O$36</f>
        <v>0</v>
      </c>
    </row>
    <row r="34" spans="1:16" x14ac:dyDescent="0.35">
      <c r="A34" s="11" t="s">
        <v>17</v>
      </c>
      <c r="B34" s="26">
        <v>1</v>
      </c>
      <c r="C34" s="5"/>
      <c r="D34" s="5">
        <v>1</v>
      </c>
      <c r="E34" s="5">
        <f t="shared" ref="E34:E35" si="5">+SUM(B34:D34)</f>
        <v>2</v>
      </c>
      <c r="F34" s="27">
        <f t="shared" ref="F34:F35" si="6">+E34/$E$36</f>
        <v>0.5</v>
      </c>
      <c r="G34" s="26">
        <v>1</v>
      </c>
      <c r="H34" s="5"/>
      <c r="I34" s="5">
        <v>1</v>
      </c>
      <c r="J34" s="5">
        <f t="shared" ref="J34:J35" si="7">+SUM(G34:I34)</f>
        <v>2</v>
      </c>
      <c r="K34" s="27">
        <f t="shared" ref="K34:K35" si="8">+J34/$J$36</f>
        <v>0.5</v>
      </c>
      <c r="L34" s="26">
        <v>1</v>
      </c>
      <c r="M34" s="5"/>
      <c r="N34" s="5">
        <v>0</v>
      </c>
      <c r="O34" s="5">
        <f t="shared" ref="O34:O35" si="9">+SUM(L34:N34)</f>
        <v>1</v>
      </c>
      <c r="P34" s="28">
        <f t="shared" ref="P34:P35" si="10">+O34/$O$36</f>
        <v>0.33333333333333331</v>
      </c>
    </row>
    <row r="35" spans="1:16" ht="15" thickBot="1" x14ac:dyDescent="0.4">
      <c r="A35" s="11" t="s">
        <v>18</v>
      </c>
      <c r="B35" s="29"/>
      <c r="C35" s="30">
        <v>0</v>
      </c>
      <c r="D35" s="30">
        <v>0</v>
      </c>
      <c r="E35" s="30">
        <f t="shared" si="5"/>
        <v>0</v>
      </c>
      <c r="F35" s="31">
        <f t="shared" si="6"/>
        <v>0</v>
      </c>
      <c r="G35" s="29"/>
      <c r="H35" s="30">
        <v>1</v>
      </c>
      <c r="I35" s="30">
        <v>1</v>
      </c>
      <c r="J35" s="30">
        <f t="shared" si="7"/>
        <v>2</v>
      </c>
      <c r="K35" s="31">
        <f t="shared" si="8"/>
        <v>0.5</v>
      </c>
      <c r="L35" s="29"/>
      <c r="M35" s="30">
        <v>1</v>
      </c>
      <c r="N35" s="30">
        <v>1</v>
      </c>
      <c r="O35" s="30">
        <f t="shared" si="9"/>
        <v>2</v>
      </c>
      <c r="P35" s="32">
        <f t="shared" si="10"/>
        <v>0.66666666666666663</v>
      </c>
    </row>
    <row r="36" spans="1:16" x14ac:dyDescent="0.35">
      <c r="E36" s="33">
        <f>+SUM(E33:E35)</f>
        <v>4</v>
      </c>
      <c r="F36" s="34">
        <f>+SUM(F33:F35)</f>
        <v>1</v>
      </c>
      <c r="J36" s="33">
        <f>+SUM(J33:J35)</f>
        <v>4</v>
      </c>
      <c r="K36" s="33">
        <f>+SUM(K33:K35)</f>
        <v>1</v>
      </c>
      <c r="O36" s="33">
        <f>+SUM(O33:O35)</f>
        <v>3</v>
      </c>
      <c r="P36" s="33">
        <f>+SUM(P33:P35)</f>
        <v>1</v>
      </c>
    </row>
    <row r="38" spans="1:16" x14ac:dyDescent="0.35">
      <c r="A38" t="s">
        <v>35</v>
      </c>
    </row>
    <row r="40" spans="1:16" x14ac:dyDescent="0.35">
      <c r="A40" s="5"/>
      <c r="B40" s="14" t="s">
        <v>36</v>
      </c>
      <c r="C40" s="14"/>
      <c r="D40" s="14"/>
      <c r="E40" s="9"/>
      <c r="F40" s="5" t="s">
        <v>37</v>
      </c>
    </row>
    <row r="41" spans="1:16" x14ac:dyDescent="0.35">
      <c r="A41" s="5" t="s">
        <v>28</v>
      </c>
      <c r="B41" s="9" t="s">
        <v>16</v>
      </c>
      <c r="C41" s="9" t="s">
        <v>17</v>
      </c>
      <c r="D41" s="9" t="s">
        <v>18</v>
      </c>
      <c r="E41" s="9" t="s">
        <v>24</v>
      </c>
      <c r="F41" s="5"/>
    </row>
    <row r="42" spans="1:16" x14ac:dyDescent="0.35">
      <c r="A42" s="5" t="s">
        <v>2</v>
      </c>
      <c r="B42" s="5">
        <f>+F33</f>
        <v>0.5</v>
      </c>
      <c r="C42" s="5">
        <f>+F34</f>
        <v>0.5</v>
      </c>
      <c r="D42" s="5">
        <f>+F35</f>
        <v>0</v>
      </c>
      <c r="E42" s="17">
        <f>+F23</f>
        <v>0.5</v>
      </c>
      <c r="F42" s="5">
        <f>+B42*E42+B43*E43+B44*E44</f>
        <v>0.25</v>
      </c>
    </row>
    <row r="43" spans="1:16" x14ac:dyDescent="0.35">
      <c r="A43" s="5" t="s">
        <v>25</v>
      </c>
      <c r="B43" s="5">
        <f>+K33</f>
        <v>0</v>
      </c>
      <c r="C43" s="5">
        <f>+K34</f>
        <v>0.5</v>
      </c>
      <c r="D43" s="5">
        <f>+K35</f>
        <v>0.5</v>
      </c>
      <c r="E43" s="17">
        <f t="shared" ref="E43:E44" si="11">+F24</f>
        <v>0.25</v>
      </c>
      <c r="F43" s="35">
        <f>+C42*E42+C43*E43+C44*E44</f>
        <v>0.45833333333333331</v>
      </c>
    </row>
    <row r="44" spans="1:16" x14ac:dyDescent="0.35">
      <c r="A44" s="5" t="s">
        <v>6</v>
      </c>
      <c r="B44" s="17">
        <f>+P33</f>
        <v>0</v>
      </c>
      <c r="C44" s="17">
        <f>+P34</f>
        <v>0.33333333333333331</v>
      </c>
      <c r="D44" s="17">
        <f>+P35</f>
        <v>0.66666666666666663</v>
      </c>
      <c r="E44" s="17">
        <f t="shared" si="11"/>
        <v>0.25</v>
      </c>
      <c r="F44" s="35">
        <f>+D42*E42+D43*E43+D44*E44</f>
        <v>0.29166666666666663</v>
      </c>
    </row>
    <row r="45" spans="1:16" x14ac:dyDescent="0.35">
      <c r="F45">
        <f>+SUM(F42:F44)</f>
        <v>0.99999999999999989</v>
      </c>
    </row>
    <row r="46" spans="1:16" x14ac:dyDescent="0.35">
      <c r="C46" t="s">
        <v>38</v>
      </c>
      <c r="D46">
        <v>0.75</v>
      </c>
      <c r="E46" t="s">
        <v>39</v>
      </c>
      <c r="F46">
        <f>1-D46</f>
        <v>0.25</v>
      </c>
    </row>
    <row r="49" spans="2:5" x14ac:dyDescent="0.35">
      <c r="B49" s="5" t="s">
        <v>40</v>
      </c>
      <c r="C49" s="5"/>
    </row>
    <row r="50" spans="2:5" x14ac:dyDescent="0.35">
      <c r="B50" s="5" t="s">
        <v>16</v>
      </c>
      <c r="C50" s="17">
        <f>+D46*H14+F42*F46</f>
        <v>0.31894561891894652</v>
      </c>
    </row>
    <row r="51" spans="2:5" x14ac:dyDescent="0.35">
      <c r="B51" s="36" t="s">
        <v>17</v>
      </c>
      <c r="C51" s="37">
        <f>+D46*H15+F46*F43</f>
        <v>0.36447443164093291</v>
      </c>
      <c r="E51" t="s">
        <v>41</v>
      </c>
    </row>
    <row r="52" spans="2:5" x14ac:dyDescent="0.35">
      <c r="B52" s="5" t="s">
        <v>18</v>
      </c>
      <c r="C52" s="17">
        <f>+D46*H16+F46*F44</f>
        <v>0.31657994944012047</v>
      </c>
    </row>
  </sheetData>
  <mergeCells count="12">
    <mergeCell ref="G30:K30"/>
    <mergeCell ref="L30:P30"/>
    <mergeCell ref="B31:D31"/>
    <mergeCell ref="G31:I31"/>
    <mergeCell ref="L31:N31"/>
    <mergeCell ref="B40:D40"/>
    <mergeCell ref="B12:F12"/>
    <mergeCell ref="A21:A22"/>
    <mergeCell ref="B21:D21"/>
    <mergeCell ref="E21:E22"/>
    <mergeCell ref="F21:F22"/>
    <mergeCell ref="B30:F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54AB-92C1-4F6C-850F-89A227382FBD}">
  <dimension ref="A2:W36"/>
  <sheetViews>
    <sheetView topLeftCell="A10" zoomScale="70" zoomScaleNormal="70" workbookViewId="0">
      <selection activeCell="M13" sqref="M13"/>
    </sheetView>
  </sheetViews>
  <sheetFormatPr baseColWidth="10" defaultRowHeight="14.5" x14ac:dyDescent="0.35"/>
  <sheetData>
    <row r="2" spans="1:8" x14ac:dyDescent="0.35">
      <c r="A2" t="s">
        <v>103</v>
      </c>
    </row>
    <row r="3" spans="1:8" x14ac:dyDescent="0.35">
      <c r="A3" s="5" t="s">
        <v>66</v>
      </c>
      <c r="B3" s="5"/>
      <c r="C3" s="5">
        <v>5000</v>
      </c>
      <c r="D3" s="5">
        <v>10000</v>
      </c>
      <c r="E3" s="5">
        <v>15000</v>
      </c>
      <c r="F3" s="5">
        <v>22000</v>
      </c>
      <c r="G3" s="5">
        <v>25000</v>
      </c>
    </row>
    <row r="4" spans="1:8" x14ac:dyDescent="0.35">
      <c r="A4" s="59"/>
      <c r="B4" s="59"/>
      <c r="C4" s="59"/>
      <c r="D4" s="59"/>
      <c r="E4" s="59"/>
      <c r="F4" s="59"/>
      <c r="G4" s="59"/>
    </row>
    <row r="5" spans="1:8" x14ac:dyDescent="0.35">
      <c r="A5" s="59" t="s">
        <v>104</v>
      </c>
      <c r="B5" s="59"/>
      <c r="C5" s="59"/>
      <c r="D5" s="59"/>
      <c r="E5" s="59"/>
      <c r="F5" s="59"/>
      <c r="G5" s="59"/>
    </row>
    <row r="6" spans="1:8" x14ac:dyDescent="0.35">
      <c r="C6" t="s">
        <v>43</v>
      </c>
      <c r="D6" t="s">
        <v>44</v>
      </c>
      <c r="E6" t="s">
        <v>45</v>
      </c>
      <c r="F6" t="s">
        <v>46</v>
      </c>
      <c r="G6" s="59"/>
    </row>
    <row r="7" spans="1:8" x14ac:dyDescent="0.35">
      <c r="A7" s="38" t="s">
        <v>47</v>
      </c>
      <c r="B7" s="38" t="s">
        <v>48</v>
      </c>
      <c r="C7" s="38" t="s">
        <v>43</v>
      </c>
      <c r="D7" s="38" t="s">
        <v>49</v>
      </c>
      <c r="E7" s="38" t="s">
        <v>50</v>
      </c>
      <c r="F7" s="38" t="s">
        <v>51</v>
      </c>
      <c r="H7" t="s">
        <v>105</v>
      </c>
    </row>
    <row r="8" spans="1:8" x14ac:dyDescent="0.35">
      <c r="A8" s="40">
        <v>1</v>
      </c>
      <c r="B8" s="5">
        <v>13000</v>
      </c>
      <c r="C8" s="5" t="s">
        <v>52</v>
      </c>
      <c r="D8" s="5">
        <v>200000</v>
      </c>
      <c r="E8" s="5">
        <v>45</v>
      </c>
      <c r="F8" s="5">
        <v>3000</v>
      </c>
      <c r="H8" t="s">
        <v>106</v>
      </c>
    </row>
    <row r="9" spans="1:8" x14ac:dyDescent="0.35">
      <c r="A9" s="5">
        <v>2</v>
      </c>
      <c r="B9" s="5">
        <v>22000</v>
      </c>
      <c r="C9" s="5" t="s">
        <v>52</v>
      </c>
      <c r="D9" s="5">
        <f>+D8*1.6</f>
        <v>320000</v>
      </c>
      <c r="E9" s="5">
        <v>35</v>
      </c>
      <c r="F9" s="5">
        <v>6000</v>
      </c>
    </row>
    <row r="10" spans="1:8" x14ac:dyDescent="0.35">
      <c r="A10" s="5">
        <v>3</v>
      </c>
      <c r="B10" s="5">
        <v>35000</v>
      </c>
      <c r="C10" s="5" t="s">
        <v>52</v>
      </c>
      <c r="D10" s="5">
        <f>+D8*3.2</f>
        <v>640000</v>
      </c>
      <c r="E10" s="5">
        <v>30</v>
      </c>
      <c r="F10" s="5">
        <v>10500</v>
      </c>
      <c r="G10" s="39"/>
    </row>
    <row r="12" spans="1:8" x14ac:dyDescent="0.35">
      <c r="A12" t="s">
        <v>107</v>
      </c>
      <c r="E12">
        <v>60</v>
      </c>
      <c r="F12" t="s">
        <v>45</v>
      </c>
    </row>
    <row r="13" spans="1:8" x14ac:dyDescent="0.35">
      <c r="A13" t="s">
        <v>53</v>
      </c>
      <c r="B13" s="41">
        <v>0.3</v>
      </c>
    </row>
    <row r="14" spans="1:8" x14ac:dyDescent="0.35">
      <c r="A14" t="s">
        <v>54</v>
      </c>
      <c r="B14" s="41">
        <v>0.12</v>
      </c>
    </row>
    <row r="16" spans="1:8" x14ac:dyDescent="0.35">
      <c r="A16" t="s">
        <v>108</v>
      </c>
    </row>
    <row r="17" spans="1:23" x14ac:dyDescent="0.35">
      <c r="A17" s="4" t="s">
        <v>42</v>
      </c>
      <c r="B17" s="41"/>
      <c r="I17" s="4" t="s">
        <v>109</v>
      </c>
      <c r="Q17" s="4" t="s">
        <v>110</v>
      </c>
    </row>
    <row r="18" spans="1:23" x14ac:dyDescent="0.35">
      <c r="A18" s="5"/>
      <c r="B18" s="42">
        <v>0</v>
      </c>
      <c r="C18" s="42">
        <v>1</v>
      </c>
      <c r="D18" s="42">
        <v>2</v>
      </c>
      <c r="E18" s="42">
        <v>3</v>
      </c>
      <c r="F18" s="42">
        <v>4</v>
      </c>
      <c r="G18" s="42">
        <v>5</v>
      </c>
      <c r="I18" s="5"/>
      <c r="J18" s="42">
        <v>0</v>
      </c>
      <c r="K18" s="42">
        <v>1</v>
      </c>
      <c r="L18" s="42">
        <v>2</v>
      </c>
      <c r="M18" s="42">
        <v>3</v>
      </c>
      <c r="N18" s="42">
        <v>4</v>
      </c>
      <c r="O18" s="42">
        <v>5</v>
      </c>
      <c r="Q18" s="5"/>
      <c r="R18" s="42">
        <v>0</v>
      </c>
      <c r="S18" s="42">
        <v>1</v>
      </c>
      <c r="T18" s="42">
        <v>2</v>
      </c>
      <c r="U18" s="42">
        <v>3</v>
      </c>
      <c r="V18" s="42">
        <v>4</v>
      </c>
      <c r="W18" s="42">
        <v>5</v>
      </c>
    </row>
    <row r="19" spans="1:23" x14ac:dyDescent="0.35">
      <c r="A19" s="5" t="s">
        <v>49</v>
      </c>
      <c r="B19" s="5">
        <f>+D8</f>
        <v>200000</v>
      </c>
      <c r="C19" s="5"/>
      <c r="D19" s="5"/>
      <c r="E19" s="5"/>
      <c r="F19" s="5"/>
      <c r="G19" s="5"/>
      <c r="I19" s="5" t="s">
        <v>49</v>
      </c>
      <c r="J19" s="5">
        <f>+D9</f>
        <v>320000</v>
      </c>
      <c r="K19" s="5"/>
      <c r="L19" s="5"/>
      <c r="M19" s="5"/>
      <c r="N19" s="5"/>
      <c r="O19" s="5"/>
      <c r="Q19" s="5" t="s">
        <v>49</v>
      </c>
      <c r="R19" s="5">
        <f>+D10</f>
        <v>640000</v>
      </c>
      <c r="S19" s="5"/>
      <c r="T19" s="5"/>
      <c r="U19" s="5"/>
      <c r="V19" s="5"/>
      <c r="W19" s="5"/>
    </row>
    <row r="20" spans="1:23" x14ac:dyDescent="0.35">
      <c r="A20" s="5" t="s">
        <v>55</v>
      </c>
      <c r="B20" s="5"/>
      <c r="C20" s="5">
        <f>+C36*$E$12</f>
        <v>300000</v>
      </c>
      <c r="D20" s="5">
        <f>+D36*$E$12</f>
        <v>600000</v>
      </c>
      <c r="E20" s="5">
        <f>+E36*$E$12</f>
        <v>780000</v>
      </c>
      <c r="F20" s="5">
        <f>+F36*$E$12</f>
        <v>780000</v>
      </c>
      <c r="G20" s="5">
        <f>+G36*$E$12</f>
        <v>780000</v>
      </c>
      <c r="I20" s="5" t="s">
        <v>55</v>
      </c>
      <c r="J20" s="5"/>
      <c r="K20" s="5">
        <f>+K35*$E$12</f>
        <v>300000</v>
      </c>
      <c r="L20" s="5">
        <f>+L35*$E$12</f>
        <v>600000</v>
      </c>
      <c r="M20" s="5">
        <f>+M35*$E$12</f>
        <v>900000</v>
      </c>
      <c r="N20" s="5">
        <f>+N35*$E$12</f>
        <v>1320000</v>
      </c>
      <c r="O20" s="5">
        <f>+O35*$E$12</f>
        <v>1320000</v>
      </c>
      <c r="Q20" s="5" t="s">
        <v>55</v>
      </c>
      <c r="R20" s="5"/>
      <c r="S20" s="5">
        <f>+S35*$E$12</f>
        <v>300000</v>
      </c>
      <c r="T20" s="5">
        <f>+T35*$E$12</f>
        <v>600000</v>
      </c>
      <c r="U20" s="5">
        <f>+U35*$E$12</f>
        <v>900000</v>
      </c>
      <c r="V20" s="5">
        <f>+V35*$E$12</f>
        <v>1320000</v>
      </c>
      <c r="W20" s="5">
        <f>+W35*$E$12</f>
        <v>1500000</v>
      </c>
    </row>
    <row r="21" spans="1:23" x14ac:dyDescent="0.35">
      <c r="A21" s="5" t="s">
        <v>56</v>
      </c>
      <c r="B21" s="5"/>
      <c r="C21" s="5">
        <f>+C36*$E$8</f>
        <v>225000</v>
      </c>
      <c r="D21" s="5">
        <f>+D36*$E$8</f>
        <v>450000</v>
      </c>
      <c r="E21" s="5">
        <f>+E36*$E$8</f>
        <v>585000</v>
      </c>
      <c r="F21" s="5">
        <f>+F36*$E$8</f>
        <v>585000</v>
      </c>
      <c r="G21" s="5">
        <f>+G36*$E$8</f>
        <v>585000</v>
      </c>
      <c r="I21" s="5" t="s">
        <v>56</v>
      </c>
      <c r="J21" s="5"/>
      <c r="K21" s="5">
        <f>+K35*$E$9</f>
        <v>175000</v>
      </c>
      <c r="L21" s="5">
        <f>+L35*$E$9</f>
        <v>350000</v>
      </c>
      <c r="M21" s="5">
        <f>+M35*$E$9</f>
        <v>525000</v>
      </c>
      <c r="N21" s="5">
        <f>+N35*$E$9</f>
        <v>770000</v>
      </c>
      <c r="O21" s="5">
        <f>+O35*$E$9</f>
        <v>770000</v>
      </c>
      <c r="Q21" s="5" t="s">
        <v>56</v>
      </c>
      <c r="R21" s="5"/>
      <c r="S21" s="5">
        <f>+S35*$E$10</f>
        <v>150000</v>
      </c>
      <c r="T21" s="5">
        <f>+T35*$E$10</f>
        <v>300000</v>
      </c>
      <c r="U21" s="5">
        <f>+U35*$E$10</f>
        <v>450000</v>
      </c>
      <c r="V21" s="5">
        <f>+V35*$E$10</f>
        <v>660000</v>
      </c>
      <c r="W21" s="5">
        <f>+W35*$E$10</f>
        <v>750000</v>
      </c>
    </row>
    <row r="22" spans="1:23" x14ac:dyDescent="0.35">
      <c r="A22" s="5" t="s">
        <v>57</v>
      </c>
      <c r="B22" s="5"/>
      <c r="C22" s="5">
        <f>+$F$8*12</f>
        <v>36000</v>
      </c>
      <c r="D22" s="5">
        <f>+$F$8*12</f>
        <v>36000</v>
      </c>
      <c r="E22" s="5">
        <f>+$F$8*12</f>
        <v>36000</v>
      </c>
      <c r="F22" s="5">
        <f>+$F$8*12</f>
        <v>36000</v>
      </c>
      <c r="G22" s="5">
        <f>+$F$8*12</f>
        <v>36000</v>
      </c>
      <c r="I22" s="5" t="s">
        <v>57</v>
      </c>
      <c r="J22" s="5"/>
      <c r="K22" s="5">
        <f>+$F$9*12</f>
        <v>72000</v>
      </c>
      <c r="L22" s="5">
        <f>+$F$9*12</f>
        <v>72000</v>
      </c>
      <c r="M22" s="5">
        <f>+$F$9*12</f>
        <v>72000</v>
      </c>
      <c r="N22" s="5">
        <f>+$F$9*12</f>
        <v>72000</v>
      </c>
      <c r="O22" s="5">
        <f>+$F$9*12</f>
        <v>72000</v>
      </c>
      <c r="Q22" s="5" t="s">
        <v>57</v>
      </c>
      <c r="R22" s="5"/>
      <c r="S22" s="5">
        <f>+$F$10*12</f>
        <v>126000</v>
      </c>
      <c r="T22" s="5">
        <f>+$F$10*12</f>
        <v>126000</v>
      </c>
      <c r="U22" s="5">
        <f>+$F$10*12</f>
        <v>126000</v>
      </c>
      <c r="V22" s="5">
        <f>+$F$10*12</f>
        <v>126000</v>
      </c>
      <c r="W22" s="5">
        <f>+$F$10*12</f>
        <v>126000</v>
      </c>
    </row>
    <row r="23" spans="1:23" x14ac:dyDescent="0.35">
      <c r="A23" s="5" t="s">
        <v>58</v>
      </c>
      <c r="B23" s="5"/>
      <c r="C23" s="5">
        <f>+D8/5</f>
        <v>40000</v>
      </c>
      <c r="D23" s="5">
        <f>+C23</f>
        <v>40000</v>
      </c>
      <c r="E23" s="5">
        <f t="shared" ref="E23:G23" si="0">+D23</f>
        <v>40000</v>
      </c>
      <c r="F23" s="5">
        <f t="shared" si="0"/>
        <v>40000</v>
      </c>
      <c r="G23" s="5">
        <f t="shared" si="0"/>
        <v>40000</v>
      </c>
      <c r="I23" s="5" t="s">
        <v>58</v>
      </c>
      <c r="J23" s="5"/>
      <c r="K23" s="5">
        <f>+D9/5</f>
        <v>64000</v>
      </c>
      <c r="L23" s="5">
        <f>+K23</f>
        <v>64000</v>
      </c>
      <c r="M23" s="5">
        <f t="shared" ref="M23:O23" si="1">+L23</f>
        <v>64000</v>
      </c>
      <c r="N23" s="5">
        <f t="shared" si="1"/>
        <v>64000</v>
      </c>
      <c r="O23" s="5">
        <f t="shared" si="1"/>
        <v>64000</v>
      </c>
      <c r="Q23" s="5" t="s">
        <v>58</v>
      </c>
      <c r="R23" s="5"/>
      <c r="S23" s="5">
        <f>+D10/5</f>
        <v>128000</v>
      </c>
      <c r="T23" s="5">
        <f>+S23</f>
        <v>128000</v>
      </c>
      <c r="U23" s="5">
        <f t="shared" ref="U23:W23" si="2">+T23</f>
        <v>128000</v>
      </c>
      <c r="V23" s="5">
        <f t="shared" si="2"/>
        <v>128000</v>
      </c>
      <c r="W23" s="5">
        <f t="shared" si="2"/>
        <v>128000</v>
      </c>
    </row>
    <row r="24" spans="1:23" x14ac:dyDescent="0.35">
      <c r="A24" s="5" t="s">
        <v>59</v>
      </c>
      <c r="B24" s="5"/>
      <c r="C24" s="5">
        <f>+C20-C21-C22-C23</f>
        <v>-1000</v>
      </c>
      <c r="D24" s="5">
        <f t="shared" ref="D24:G24" si="3">+D20-D21-D22-D23</f>
        <v>74000</v>
      </c>
      <c r="E24" s="5">
        <f t="shared" si="3"/>
        <v>119000</v>
      </c>
      <c r="F24" s="5">
        <f t="shared" si="3"/>
        <v>119000</v>
      </c>
      <c r="G24" s="5">
        <f t="shared" si="3"/>
        <v>119000</v>
      </c>
      <c r="I24" s="5" t="s">
        <v>59</v>
      </c>
      <c r="J24" s="5"/>
      <c r="K24" s="5">
        <f>+K20-K21-K22-K23</f>
        <v>-11000</v>
      </c>
      <c r="L24" s="5">
        <f t="shared" ref="L24:O24" si="4">+L20-L21-L22-L23</f>
        <v>114000</v>
      </c>
      <c r="M24" s="5">
        <f t="shared" si="4"/>
        <v>239000</v>
      </c>
      <c r="N24" s="5">
        <f t="shared" si="4"/>
        <v>414000</v>
      </c>
      <c r="O24" s="5">
        <f t="shared" si="4"/>
        <v>414000</v>
      </c>
      <c r="Q24" s="5" t="s">
        <v>59</v>
      </c>
      <c r="R24" s="5"/>
      <c r="S24" s="5">
        <f>+S20-S21-S22-S23</f>
        <v>-104000</v>
      </c>
      <c r="T24" s="5">
        <f t="shared" ref="T24:W24" si="5">+T20-T21-T22-T23</f>
        <v>46000</v>
      </c>
      <c r="U24" s="5">
        <f t="shared" si="5"/>
        <v>196000</v>
      </c>
      <c r="V24" s="5">
        <f t="shared" si="5"/>
        <v>406000</v>
      </c>
      <c r="W24" s="5">
        <f t="shared" si="5"/>
        <v>496000</v>
      </c>
    </row>
    <row r="25" spans="1:23" x14ac:dyDescent="0.35">
      <c r="A25" s="5" t="s">
        <v>60</v>
      </c>
      <c r="B25" s="5"/>
      <c r="C25" s="5">
        <v>0</v>
      </c>
      <c r="D25" s="5">
        <f>+D24*$B$13</f>
        <v>22200</v>
      </c>
      <c r="E25" s="5">
        <f>+E24*$B$13</f>
        <v>35700</v>
      </c>
      <c r="F25" s="5">
        <f>+F24*$B$13</f>
        <v>35700</v>
      </c>
      <c r="G25" s="5">
        <f>+G24*$B$13</f>
        <v>35700</v>
      </c>
      <c r="I25" s="5" t="s">
        <v>60</v>
      </c>
      <c r="J25" s="5"/>
      <c r="K25" s="5">
        <v>0</v>
      </c>
      <c r="L25" s="5">
        <f>+L24*$B$13</f>
        <v>34200</v>
      </c>
      <c r="M25" s="5">
        <f>+M24*$B$13</f>
        <v>71700</v>
      </c>
      <c r="N25" s="5">
        <f>+N24*$B$13</f>
        <v>124200</v>
      </c>
      <c r="O25" s="5">
        <f>+O24*$B$13</f>
        <v>124200</v>
      </c>
      <c r="Q25" s="5" t="s">
        <v>60</v>
      </c>
      <c r="R25" s="5"/>
      <c r="S25" s="5">
        <v>0</v>
      </c>
      <c r="T25" s="5">
        <f>+T24*$B$13</f>
        <v>13800</v>
      </c>
      <c r="U25" s="5">
        <f>+U24*$B$13</f>
        <v>58800</v>
      </c>
      <c r="V25" s="5">
        <f>+V24*$B$13</f>
        <v>121800</v>
      </c>
      <c r="W25" s="5">
        <f>+W24*$B$13</f>
        <v>148800</v>
      </c>
    </row>
    <row r="26" spans="1:23" x14ac:dyDescent="0.35">
      <c r="A26" s="5" t="s">
        <v>61</v>
      </c>
      <c r="B26" s="5"/>
      <c r="C26" s="5">
        <v>0</v>
      </c>
      <c r="D26" s="5">
        <f t="shared" ref="D26:G26" si="6">+D24-D25</f>
        <v>51800</v>
      </c>
      <c r="E26" s="5">
        <f t="shared" si="6"/>
        <v>83300</v>
      </c>
      <c r="F26" s="5">
        <f t="shared" si="6"/>
        <v>83300</v>
      </c>
      <c r="G26" s="5">
        <f t="shared" si="6"/>
        <v>83300</v>
      </c>
      <c r="I26" s="5" t="s">
        <v>61</v>
      </c>
      <c r="J26" s="5"/>
      <c r="K26" s="5">
        <f t="shared" ref="K26:O26" si="7">+K24-K25</f>
        <v>-11000</v>
      </c>
      <c r="L26" s="5">
        <f t="shared" si="7"/>
        <v>79800</v>
      </c>
      <c r="M26" s="5">
        <f t="shared" si="7"/>
        <v>167300</v>
      </c>
      <c r="N26" s="5">
        <f t="shared" si="7"/>
        <v>289800</v>
      </c>
      <c r="O26" s="5">
        <f t="shared" si="7"/>
        <v>289800</v>
      </c>
      <c r="Q26" s="5" t="s">
        <v>61</v>
      </c>
      <c r="R26" s="5"/>
      <c r="S26" s="5">
        <f t="shared" ref="S26:W26" si="8">+S24-S25</f>
        <v>-104000</v>
      </c>
      <c r="T26" s="5">
        <f t="shared" si="8"/>
        <v>32200</v>
      </c>
      <c r="U26" s="5">
        <f t="shared" si="8"/>
        <v>137200</v>
      </c>
      <c r="V26" s="5">
        <f t="shared" si="8"/>
        <v>284200</v>
      </c>
      <c r="W26" s="5">
        <f t="shared" si="8"/>
        <v>347200</v>
      </c>
    </row>
    <row r="27" spans="1:23" x14ac:dyDescent="0.35">
      <c r="A27" s="5" t="s">
        <v>62</v>
      </c>
      <c r="B27" s="5">
        <f>-B19</f>
        <v>-200000</v>
      </c>
      <c r="C27" s="5">
        <f>+C26+C23</f>
        <v>40000</v>
      </c>
      <c r="D27" s="5">
        <f t="shared" ref="D27:G27" si="9">+D26+D23</f>
        <v>91800</v>
      </c>
      <c r="E27" s="5">
        <f t="shared" si="9"/>
        <v>123300</v>
      </c>
      <c r="F27" s="5">
        <f t="shared" si="9"/>
        <v>123300</v>
      </c>
      <c r="G27" s="5">
        <f t="shared" si="9"/>
        <v>123300</v>
      </c>
      <c r="I27" s="5" t="s">
        <v>62</v>
      </c>
      <c r="J27" s="5">
        <f>-J19</f>
        <v>-320000</v>
      </c>
      <c r="K27" s="5">
        <f>+K26+K23</f>
        <v>53000</v>
      </c>
      <c r="L27" s="5">
        <f t="shared" ref="L27:O27" si="10">+L26+L23</f>
        <v>143800</v>
      </c>
      <c r="M27" s="5">
        <f t="shared" si="10"/>
        <v>231300</v>
      </c>
      <c r="N27" s="5">
        <f t="shared" si="10"/>
        <v>353800</v>
      </c>
      <c r="O27" s="5">
        <f t="shared" si="10"/>
        <v>353800</v>
      </c>
      <c r="Q27" s="5" t="s">
        <v>62</v>
      </c>
      <c r="R27" s="5">
        <f>-R19</f>
        <v>-640000</v>
      </c>
      <c r="S27" s="5">
        <f>+S26+S23</f>
        <v>24000</v>
      </c>
      <c r="T27" s="5">
        <f t="shared" ref="T27:W27" si="11">+T26+T23</f>
        <v>160200</v>
      </c>
      <c r="U27" s="5">
        <f t="shared" si="11"/>
        <v>265200</v>
      </c>
      <c r="V27" s="5">
        <f t="shared" si="11"/>
        <v>412200</v>
      </c>
      <c r="W27" s="5">
        <f t="shared" si="11"/>
        <v>475200</v>
      </c>
    </row>
    <row r="28" spans="1:23" x14ac:dyDescent="0.35">
      <c r="A28" t="s">
        <v>63</v>
      </c>
      <c r="B28" s="43">
        <f>+NPV(B14,C27:G27)</f>
        <v>344982.29860628193</v>
      </c>
      <c r="I28" t="s">
        <v>63</v>
      </c>
      <c r="J28" s="43">
        <f>+NPV(B14,K27:O27)</f>
        <v>752194.59717537684</v>
      </c>
      <c r="Q28" t="s">
        <v>63</v>
      </c>
      <c r="R28" s="43">
        <f>+NPV(B14,S27:W27)</f>
        <v>869504.94608831115</v>
      </c>
    </row>
    <row r="29" spans="1:23" x14ac:dyDescent="0.35">
      <c r="A29" t="s">
        <v>64</v>
      </c>
      <c r="B29" s="43">
        <f>+B28+B27</f>
        <v>144982.29860628193</v>
      </c>
      <c r="I29" t="s">
        <v>64</v>
      </c>
      <c r="J29" s="44">
        <f>+J28+J27</f>
        <v>432194.59717537684</v>
      </c>
      <c r="Q29" t="s">
        <v>64</v>
      </c>
      <c r="R29" s="43">
        <f>+R28+R27</f>
        <v>229504.94608831115</v>
      </c>
    </row>
    <row r="30" spans="1:23" x14ac:dyDescent="0.35">
      <c r="A30" t="s">
        <v>65</v>
      </c>
      <c r="B30" s="45">
        <f>+B29/-B27</f>
        <v>0.72491149303140967</v>
      </c>
      <c r="I30" t="s">
        <v>65</v>
      </c>
      <c r="J30" s="45">
        <f>+J29/-J27</f>
        <v>1.3506081161730525</v>
      </c>
      <c r="Q30" t="s">
        <v>65</v>
      </c>
      <c r="R30" s="45">
        <f>+R29/-R27</f>
        <v>0.35860147826298616</v>
      </c>
    </row>
    <row r="33" spans="1:23" x14ac:dyDescent="0.35">
      <c r="I33" s="5" t="s">
        <v>66</v>
      </c>
      <c r="J33" s="5"/>
      <c r="K33" s="5">
        <v>5000</v>
      </c>
      <c r="L33" s="5">
        <v>10000</v>
      </c>
      <c r="M33" s="5">
        <v>15000</v>
      </c>
      <c r="N33" s="5">
        <v>22000</v>
      </c>
      <c r="O33" s="5">
        <v>25000</v>
      </c>
      <c r="Q33" s="5" t="s">
        <v>66</v>
      </c>
      <c r="R33" s="5"/>
      <c r="S33" s="5">
        <v>5000</v>
      </c>
      <c r="T33" s="5">
        <v>10000</v>
      </c>
      <c r="U33" s="5">
        <v>15000</v>
      </c>
      <c r="V33" s="5">
        <v>22000</v>
      </c>
      <c r="W33" s="5">
        <v>25000</v>
      </c>
    </row>
    <row r="34" spans="1:23" x14ac:dyDescent="0.35">
      <c r="A34" s="5" t="s">
        <v>66</v>
      </c>
      <c r="B34" s="5"/>
      <c r="C34" s="5">
        <v>5000</v>
      </c>
      <c r="D34" s="5">
        <v>10000</v>
      </c>
      <c r="E34" s="5">
        <v>15000</v>
      </c>
      <c r="F34" s="5">
        <v>22000</v>
      </c>
      <c r="G34" s="5">
        <v>25000</v>
      </c>
      <c r="I34" s="5" t="s">
        <v>67</v>
      </c>
      <c r="J34" s="5"/>
      <c r="K34" s="5">
        <v>22000</v>
      </c>
      <c r="L34" s="5">
        <f>+K34</f>
        <v>22000</v>
      </c>
      <c r="M34" s="5">
        <f t="shared" ref="M34:O34" si="12">+L34</f>
        <v>22000</v>
      </c>
      <c r="N34" s="5">
        <f t="shared" si="12"/>
        <v>22000</v>
      </c>
      <c r="O34" s="5">
        <f t="shared" si="12"/>
        <v>22000</v>
      </c>
      <c r="Q34" s="5" t="s">
        <v>67</v>
      </c>
      <c r="R34" s="5"/>
      <c r="S34" s="5">
        <v>35000</v>
      </c>
      <c r="T34" s="5">
        <f>+S34</f>
        <v>35000</v>
      </c>
      <c r="U34" s="5">
        <f t="shared" ref="U34:W34" si="13">+T34</f>
        <v>35000</v>
      </c>
      <c r="V34" s="5">
        <f t="shared" si="13"/>
        <v>35000</v>
      </c>
      <c r="W34" s="5">
        <f t="shared" si="13"/>
        <v>35000</v>
      </c>
    </row>
    <row r="35" spans="1:23" x14ac:dyDescent="0.35">
      <c r="A35" s="5" t="s">
        <v>67</v>
      </c>
      <c r="B35" s="5"/>
      <c r="C35" s="5">
        <v>13000</v>
      </c>
      <c r="D35" s="5">
        <v>13000</v>
      </c>
      <c r="E35" s="5">
        <v>13000</v>
      </c>
      <c r="F35" s="5">
        <v>13000</v>
      </c>
      <c r="G35" s="5">
        <v>13000</v>
      </c>
      <c r="I35" s="5" t="s">
        <v>68</v>
      </c>
      <c r="J35" s="5"/>
      <c r="K35" s="5">
        <f>+MIN(K33,K34)</f>
        <v>5000</v>
      </c>
      <c r="L35" s="5">
        <f t="shared" ref="L35:O35" si="14">+MIN(L33,L34)</f>
        <v>10000</v>
      </c>
      <c r="M35" s="5">
        <f t="shared" si="14"/>
        <v>15000</v>
      </c>
      <c r="N35" s="5">
        <f t="shared" si="14"/>
        <v>22000</v>
      </c>
      <c r="O35" s="5">
        <f t="shared" si="14"/>
        <v>22000</v>
      </c>
      <c r="Q35" s="5" t="s">
        <v>68</v>
      </c>
      <c r="R35" s="5"/>
      <c r="S35" s="5">
        <f>+MIN(S33,S34)</f>
        <v>5000</v>
      </c>
      <c r="T35" s="5">
        <f t="shared" ref="T35:W35" si="15">+MIN(T33,T34)</f>
        <v>10000</v>
      </c>
      <c r="U35" s="5">
        <f t="shared" si="15"/>
        <v>15000</v>
      </c>
      <c r="V35" s="5">
        <f t="shared" si="15"/>
        <v>22000</v>
      </c>
      <c r="W35" s="5">
        <f t="shared" si="15"/>
        <v>25000</v>
      </c>
    </row>
    <row r="36" spans="1:23" x14ac:dyDescent="0.35">
      <c r="A36" s="5" t="s">
        <v>68</v>
      </c>
      <c r="B36" s="5"/>
      <c r="C36" s="5">
        <f>+MIN(C34,C35)</f>
        <v>5000</v>
      </c>
      <c r="D36" s="5">
        <f t="shared" ref="D36:G36" si="16">+MIN(D34,D35)</f>
        <v>10000</v>
      </c>
      <c r="E36" s="5">
        <f t="shared" si="16"/>
        <v>13000</v>
      </c>
      <c r="F36" s="5">
        <f t="shared" si="16"/>
        <v>13000</v>
      </c>
      <c r="G36" s="5">
        <f t="shared" si="16"/>
        <v>13000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3151C-BDE5-47B7-9C3F-A7E5A0D1A15F}">
  <dimension ref="A1:R39"/>
  <sheetViews>
    <sheetView zoomScale="80" zoomScaleNormal="80" workbookViewId="0"/>
  </sheetViews>
  <sheetFormatPr baseColWidth="10" defaultRowHeight="14.5" x14ac:dyDescent="0.35"/>
  <sheetData>
    <row r="1" spans="1:12" x14ac:dyDescent="0.35">
      <c r="A1" s="46"/>
      <c r="B1" t="s">
        <v>101</v>
      </c>
    </row>
    <row r="2" spans="1:12" x14ac:dyDescent="0.35">
      <c r="A2" s="46"/>
      <c r="B2" t="s">
        <v>69</v>
      </c>
    </row>
    <row r="3" spans="1:12" ht="43.5" x14ac:dyDescent="0.35">
      <c r="A3" s="46"/>
      <c r="B3" s="5" t="s">
        <v>70</v>
      </c>
      <c r="C3" s="5"/>
      <c r="D3" s="5" t="s">
        <v>71</v>
      </c>
      <c r="E3" s="5" t="s">
        <v>72</v>
      </c>
      <c r="F3" s="47" t="s">
        <v>73</v>
      </c>
    </row>
    <row r="4" spans="1:12" x14ac:dyDescent="0.35">
      <c r="A4" s="46"/>
      <c r="B4" s="5" t="s">
        <v>74</v>
      </c>
      <c r="C4" s="5"/>
      <c r="D4" s="5">
        <v>300</v>
      </c>
      <c r="E4" s="5">
        <v>10</v>
      </c>
      <c r="F4" s="5">
        <v>30</v>
      </c>
    </row>
    <row r="5" spans="1:12" x14ac:dyDescent="0.35">
      <c r="A5" s="46"/>
      <c r="B5" s="5" t="s">
        <v>75</v>
      </c>
      <c r="C5" s="5"/>
      <c r="D5" s="5">
        <v>500</v>
      </c>
      <c r="E5" s="5">
        <v>10</v>
      </c>
      <c r="F5" s="5">
        <v>50</v>
      </c>
    </row>
    <row r="6" spans="1:12" x14ac:dyDescent="0.35">
      <c r="A6" s="46"/>
      <c r="B6" s="5" t="s">
        <v>76</v>
      </c>
      <c r="C6" s="5"/>
      <c r="D6" s="5">
        <v>440</v>
      </c>
      <c r="E6" s="5">
        <v>20</v>
      </c>
      <c r="F6" s="5">
        <v>100</v>
      </c>
    </row>
    <row r="7" spans="1:12" x14ac:dyDescent="0.35">
      <c r="B7" t="s">
        <v>77</v>
      </c>
    </row>
    <row r="8" spans="1:12" x14ac:dyDescent="0.35">
      <c r="G8" s="5" t="s">
        <v>78</v>
      </c>
      <c r="H8" s="5">
        <v>450</v>
      </c>
    </row>
    <row r="9" spans="1:12" x14ac:dyDescent="0.35">
      <c r="E9" t="s">
        <v>79</v>
      </c>
      <c r="G9" s="5" t="s">
        <v>80</v>
      </c>
      <c r="H9" s="5">
        <v>2</v>
      </c>
    </row>
    <row r="10" spans="1:12" x14ac:dyDescent="0.35">
      <c r="G10" s="5" t="s">
        <v>81</v>
      </c>
      <c r="H10" s="5">
        <v>0.4</v>
      </c>
    </row>
    <row r="11" spans="1:12" x14ac:dyDescent="0.35">
      <c r="G11" t="s">
        <v>82</v>
      </c>
      <c r="H11" s="41"/>
      <c r="L11" s="48"/>
    </row>
    <row r="12" spans="1:12" x14ac:dyDescent="0.35">
      <c r="B12" t="s">
        <v>83</v>
      </c>
      <c r="H12" s="41"/>
      <c r="L12" s="48"/>
    </row>
    <row r="13" spans="1:12" x14ac:dyDescent="0.35">
      <c r="B13" t="s">
        <v>84</v>
      </c>
      <c r="C13" s="41">
        <v>0.02</v>
      </c>
      <c r="F13" t="s">
        <v>85</v>
      </c>
      <c r="G13">
        <v>0.9</v>
      </c>
      <c r="H13" s="41"/>
      <c r="L13" s="48"/>
    </row>
    <row r="14" spans="1:12" x14ac:dyDescent="0.35">
      <c r="B14" t="s">
        <v>86</v>
      </c>
      <c r="C14" s="41">
        <v>0.09</v>
      </c>
      <c r="F14" t="s">
        <v>87</v>
      </c>
      <c r="G14" s="48">
        <v>1.4999999999999999E-2</v>
      </c>
      <c r="H14" s="41"/>
      <c r="L14" s="48"/>
    </row>
    <row r="15" spans="1:12" x14ac:dyDescent="0.35">
      <c r="B15" t="s">
        <v>88</v>
      </c>
      <c r="C15" s="49"/>
      <c r="F15" s="41"/>
      <c r="H15" s="41"/>
      <c r="L15" s="48"/>
    </row>
    <row r="16" spans="1:12" x14ac:dyDescent="0.35">
      <c r="C16" s="49"/>
      <c r="F16" s="41"/>
      <c r="H16" s="41"/>
      <c r="L16" s="48"/>
    </row>
    <row r="17" spans="2:18" x14ac:dyDescent="0.35">
      <c r="C17" s="49"/>
      <c r="F17" s="41"/>
      <c r="H17" s="41"/>
      <c r="L17" s="48"/>
    </row>
    <row r="18" spans="2:18" x14ac:dyDescent="0.35">
      <c r="B18" s="5" t="s">
        <v>71</v>
      </c>
      <c r="C18" s="5">
        <f>-C22</f>
        <v>1240</v>
      </c>
      <c r="F18" t="s">
        <v>89</v>
      </c>
      <c r="G18" s="41">
        <v>0.02</v>
      </c>
      <c r="H18" s="41"/>
      <c r="L18" s="48"/>
    </row>
    <row r="19" spans="2:18" x14ac:dyDescent="0.35">
      <c r="B19" s="5" t="s">
        <v>90</v>
      </c>
      <c r="C19" s="50">
        <v>0</v>
      </c>
      <c r="F19" t="s">
        <v>91</v>
      </c>
      <c r="G19" s="49">
        <f>+C13+G13*(C14-C13)+G14</f>
        <v>9.8000000000000004E-2</v>
      </c>
      <c r="H19" s="41"/>
      <c r="L19" s="48"/>
    </row>
    <row r="20" spans="2:18" x14ac:dyDescent="0.35">
      <c r="J20">
        <v>3</v>
      </c>
    </row>
    <row r="21" spans="2:18" x14ac:dyDescent="0.35">
      <c r="B21" s="42"/>
      <c r="C21" s="42">
        <v>0</v>
      </c>
      <c r="D21" s="42">
        <v>1</v>
      </c>
      <c r="E21" s="42">
        <v>2</v>
      </c>
      <c r="F21" s="42">
        <v>3</v>
      </c>
      <c r="G21" s="42">
        <v>4</v>
      </c>
      <c r="H21" s="42">
        <v>5</v>
      </c>
      <c r="I21" s="42">
        <v>6</v>
      </c>
      <c r="J21" s="42">
        <v>7</v>
      </c>
      <c r="K21" s="42">
        <v>8</v>
      </c>
      <c r="L21" s="42">
        <v>9</v>
      </c>
      <c r="M21" s="42">
        <v>10</v>
      </c>
      <c r="N21" s="42">
        <v>11</v>
      </c>
      <c r="O21" s="42">
        <v>12</v>
      </c>
      <c r="P21" s="42">
        <v>13</v>
      </c>
      <c r="Q21" s="42">
        <v>14</v>
      </c>
      <c r="R21" s="42">
        <v>15</v>
      </c>
    </row>
    <row r="22" spans="2:18" x14ac:dyDescent="0.35">
      <c r="B22" s="5" t="s">
        <v>49</v>
      </c>
      <c r="C22" s="5">
        <v>-1240</v>
      </c>
      <c r="D22" s="5">
        <v>0</v>
      </c>
      <c r="E22" s="5">
        <v>0</v>
      </c>
      <c r="F22" s="51">
        <v>0</v>
      </c>
      <c r="G22" s="51">
        <v>0</v>
      </c>
      <c r="H22" s="51">
        <v>0</v>
      </c>
      <c r="I22" s="51">
        <v>0</v>
      </c>
      <c r="J22" s="51">
        <f t="shared" ref="J22:Q22" si="0">+T10</f>
        <v>0</v>
      </c>
      <c r="K22" s="51">
        <f t="shared" si="0"/>
        <v>0</v>
      </c>
      <c r="L22" s="51">
        <f t="shared" si="0"/>
        <v>0</v>
      </c>
      <c r="M22" s="51">
        <f t="shared" si="0"/>
        <v>0</v>
      </c>
      <c r="N22" s="51">
        <f t="shared" si="0"/>
        <v>0</v>
      </c>
      <c r="O22" s="51">
        <f t="shared" si="0"/>
        <v>0</v>
      </c>
      <c r="P22" s="51">
        <f t="shared" si="0"/>
        <v>0</v>
      </c>
      <c r="Q22" s="51">
        <f t="shared" si="0"/>
        <v>0</v>
      </c>
      <c r="R22" s="51">
        <f>+F4+F5+F6</f>
        <v>180</v>
      </c>
    </row>
    <row r="23" spans="2:18" x14ac:dyDescent="0.35">
      <c r="B23" s="5" t="s">
        <v>55</v>
      </c>
      <c r="C23" s="5">
        <v>0</v>
      </c>
      <c r="D23" s="17">
        <f t="shared" ref="D23:R23" si="1">+D34</f>
        <v>117.75515259327715</v>
      </c>
      <c r="E23" s="17">
        <f t="shared" si="1"/>
        <v>183.20205227100334</v>
      </c>
      <c r="F23" s="17">
        <f t="shared" si="1"/>
        <v>246.37608244282896</v>
      </c>
      <c r="G23" s="17">
        <f t="shared" si="1"/>
        <v>300.50204124327047</v>
      </c>
      <c r="H23" s="17">
        <f t="shared" si="1"/>
        <v>343.29049615513225</v>
      </c>
      <c r="I23" s="17">
        <f t="shared" si="1"/>
        <v>375.33226594465782</v>
      </c>
      <c r="J23" s="17">
        <f t="shared" si="1"/>
        <v>398.46810505100274</v>
      </c>
      <c r="K23" s="17">
        <f t="shared" si="1"/>
        <v>414.76959563235499</v>
      </c>
      <c r="L23" s="17">
        <f t="shared" si="1"/>
        <v>426.06850272895878</v>
      </c>
      <c r="M23" s="17">
        <f t="shared" si="1"/>
        <v>433.81418835255568</v>
      </c>
      <c r="N23" s="17">
        <f t="shared" si="1"/>
        <v>439.08495027690662</v>
      </c>
      <c r="O23" s="17">
        <f t="shared" si="1"/>
        <v>442.65385045613897</v>
      </c>
      <c r="P23" s="17">
        <f t="shared" si="1"/>
        <v>445.06238080359992</v>
      </c>
      <c r="Q23" s="17">
        <f t="shared" si="1"/>
        <v>446.68419914844861</v>
      </c>
      <c r="R23" s="17">
        <f t="shared" si="1"/>
        <v>447.77464370544459</v>
      </c>
    </row>
    <row r="24" spans="2:18" x14ac:dyDescent="0.35">
      <c r="B24" s="5" t="s">
        <v>92</v>
      </c>
      <c r="C24" s="5">
        <v>0</v>
      </c>
      <c r="D24" s="5">
        <v>100</v>
      </c>
      <c r="E24" s="52">
        <f>+D24*(1+$G$18)</f>
        <v>102</v>
      </c>
      <c r="F24" s="52">
        <f t="shared" ref="F24:R24" si="2">+E24*(1+$G$18)</f>
        <v>104.04</v>
      </c>
      <c r="G24" s="52">
        <f t="shared" si="2"/>
        <v>106.1208</v>
      </c>
      <c r="H24" s="52">
        <f t="shared" si="2"/>
        <v>108.243216</v>
      </c>
      <c r="I24" s="52">
        <f t="shared" si="2"/>
        <v>110.40808032000001</v>
      </c>
      <c r="J24" s="52">
        <f t="shared" si="2"/>
        <v>112.61624192640001</v>
      </c>
      <c r="K24" s="52">
        <f t="shared" si="2"/>
        <v>114.868566764928</v>
      </c>
      <c r="L24" s="52">
        <f t="shared" si="2"/>
        <v>117.16593810022657</v>
      </c>
      <c r="M24" s="52">
        <f t="shared" si="2"/>
        <v>119.5092568622311</v>
      </c>
      <c r="N24" s="52">
        <f t="shared" si="2"/>
        <v>121.89944199947573</v>
      </c>
      <c r="O24" s="52">
        <f t="shared" si="2"/>
        <v>124.33743083946524</v>
      </c>
      <c r="P24" s="52">
        <f t="shared" si="2"/>
        <v>126.82417945625456</v>
      </c>
      <c r="Q24" s="52">
        <f t="shared" si="2"/>
        <v>129.36066304537965</v>
      </c>
      <c r="R24" s="52">
        <f t="shared" si="2"/>
        <v>131.94787630628724</v>
      </c>
    </row>
    <row r="25" spans="2:18" x14ac:dyDescent="0.35">
      <c r="B25" s="5" t="s">
        <v>93</v>
      </c>
      <c r="C25" s="5">
        <v>0</v>
      </c>
      <c r="D25" s="51">
        <f t="shared" ref="D25:R25" si="3">+D37+D38+D39</f>
        <v>114.5</v>
      </c>
      <c r="E25" s="51">
        <f t="shared" si="3"/>
        <v>114.5</v>
      </c>
      <c r="F25" s="51">
        <f t="shared" si="3"/>
        <v>114.5</v>
      </c>
      <c r="G25" s="51">
        <f t="shared" si="3"/>
        <v>114.5</v>
      </c>
      <c r="H25" s="51">
        <f t="shared" si="3"/>
        <v>114.5</v>
      </c>
      <c r="I25" s="51">
        <f t="shared" si="3"/>
        <v>114.5</v>
      </c>
      <c r="J25" s="51">
        <f t="shared" si="3"/>
        <v>114.5</v>
      </c>
      <c r="K25" s="51">
        <f t="shared" si="3"/>
        <v>114.5</v>
      </c>
      <c r="L25" s="51">
        <f t="shared" si="3"/>
        <v>52</v>
      </c>
      <c r="M25" s="51">
        <f t="shared" si="3"/>
        <v>52</v>
      </c>
      <c r="N25" s="51">
        <f t="shared" si="3"/>
        <v>22</v>
      </c>
      <c r="O25" s="51">
        <f t="shared" si="3"/>
        <v>22</v>
      </c>
      <c r="P25" s="51">
        <f t="shared" si="3"/>
        <v>22</v>
      </c>
      <c r="Q25" s="51">
        <f t="shared" si="3"/>
        <v>22</v>
      </c>
      <c r="R25" s="51">
        <f t="shared" si="3"/>
        <v>22</v>
      </c>
    </row>
    <row r="26" spans="2:18" x14ac:dyDescent="0.35">
      <c r="B26" s="5" t="s">
        <v>59</v>
      </c>
      <c r="C26" s="5">
        <f t="shared" ref="C26:R26" si="4">+C23-C24-C25</f>
        <v>0</v>
      </c>
      <c r="D26" s="51">
        <f t="shared" si="4"/>
        <v>-96.744847406722855</v>
      </c>
      <c r="E26" s="51">
        <f t="shared" si="4"/>
        <v>-33.297947728996661</v>
      </c>
      <c r="F26" s="51">
        <f t="shared" si="4"/>
        <v>27.836082442828967</v>
      </c>
      <c r="G26" s="51">
        <f t="shared" si="4"/>
        <v>79.881241243270466</v>
      </c>
      <c r="H26" s="51">
        <f t="shared" si="4"/>
        <v>120.54728015513223</v>
      </c>
      <c r="I26" s="51">
        <f t="shared" si="4"/>
        <v>150.42418562465781</v>
      </c>
      <c r="J26" s="51">
        <f t="shared" si="4"/>
        <v>171.35186312460274</v>
      </c>
      <c r="K26" s="51">
        <f t="shared" si="4"/>
        <v>185.40102886742699</v>
      </c>
      <c r="L26" s="51">
        <f t="shared" si="4"/>
        <v>256.90256462873219</v>
      </c>
      <c r="M26" s="51">
        <f t="shared" si="4"/>
        <v>262.30493149032458</v>
      </c>
      <c r="N26" s="51">
        <f t="shared" si="4"/>
        <v>295.18550827743093</v>
      </c>
      <c r="O26" s="51">
        <f t="shared" si="4"/>
        <v>296.31641961667373</v>
      </c>
      <c r="P26" s="51">
        <f t="shared" si="4"/>
        <v>296.23820134734535</v>
      </c>
      <c r="Q26" s="51">
        <f t="shared" si="4"/>
        <v>295.32353610306893</v>
      </c>
      <c r="R26" s="51">
        <f t="shared" si="4"/>
        <v>293.82676739915735</v>
      </c>
    </row>
    <row r="27" spans="2:18" x14ac:dyDescent="0.35">
      <c r="B27" s="5" t="s">
        <v>94</v>
      </c>
      <c r="C27" s="5">
        <f t="shared" ref="C27:R27" si="5">IF(C26&gt;0,0.3*C26,0)</f>
        <v>0</v>
      </c>
      <c r="D27" s="51">
        <f t="shared" si="5"/>
        <v>0</v>
      </c>
      <c r="E27" s="51">
        <f t="shared" si="5"/>
        <v>0</v>
      </c>
      <c r="F27" s="51">
        <f t="shared" si="5"/>
        <v>8.3508247328486895</v>
      </c>
      <c r="G27" s="51">
        <f t="shared" si="5"/>
        <v>23.964372372981138</v>
      </c>
      <c r="H27" s="51">
        <f t="shared" si="5"/>
        <v>36.164184046539667</v>
      </c>
      <c r="I27" s="51">
        <f t="shared" si="5"/>
        <v>45.127255687397344</v>
      </c>
      <c r="J27" s="51">
        <f t="shared" si="5"/>
        <v>51.405558937380825</v>
      </c>
      <c r="K27" s="51">
        <f t="shared" si="5"/>
        <v>55.620308660228098</v>
      </c>
      <c r="L27" s="51">
        <f t="shared" si="5"/>
        <v>77.070769388619652</v>
      </c>
      <c r="M27" s="51">
        <f t="shared" si="5"/>
        <v>78.691479447097365</v>
      </c>
      <c r="N27" s="51">
        <f t="shared" si="5"/>
        <v>88.555652483229281</v>
      </c>
      <c r="O27" s="51">
        <f t="shared" si="5"/>
        <v>88.89492588500211</v>
      </c>
      <c r="P27" s="51">
        <f t="shared" si="5"/>
        <v>88.871460404203603</v>
      </c>
      <c r="Q27" s="51">
        <f t="shared" si="5"/>
        <v>88.597060830920682</v>
      </c>
      <c r="R27" s="51">
        <f t="shared" si="5"/>
        <v>88.148030219747199</v>
      </c>
    </row>
    <row r="28" spans="2:18" x14ac:dyDescent="0.35">
      <c r="B28" s="5" t="s">
        <v>95</v>
      </c>
      <c r="C28" s="5">
        <f t="shared" ref="C28:R28" si="6">+C26-C27</f>
        <v>0</v>
      </c>
      <c r="D28" s="51">
        <f t="shared" si="6"/>
        <v>-96.744847406722855</v>
      </c>
      <c r="E28" s="51">
        <f t="shared" si="6"/>
        <v>-33.297947728996661</v>
      </c>
      <c r="F28" s="51">
        <f t="shared" si="6"/>
        <v>19.485257709980278</v>
      </c>
      <c r="G28" s="51">
        <f t="shared" si="6"/>
        <v>55.916868870289328</v>
      </c>
      <c r="H28" s="51">
        <f t="shared" si="6"/>
        <v>84.383096108592554</v>
      </c>
      <c r="I28" s="51">
        <f t="shared" si="6"/>
        <v>105.29692993726047</v>
      </c>
      <c r="J28" s="51">
        <f t="shared" si="6"/>
        <v>119.94630418722193</v>
      </c>
      <c r="K28" s="51">
        <f t="shared" si="6"/>
        <v>129.7807202071989</v>
      </c>
      <c r="L28" s="51">
        <f t="shared" si="6"/>
        <v>179.83179524011254</v>
      </c>
      <c r="M28" s="51">
        <f t="shared" si="6"/>
        <v>183.6134520432272</v>
      </c>
      <c r="N28" s="51">
        <f t="shared" si="6"/>
        <v>206.62985579420166</v>
      </c>
      <c r="O28" s="51">
        <f t="shared" si="6"/>
        <v>207.4214937316716</v>
      </c>
      <c r="P28" s="51">
        <f t="shared" si="6"/>
        <v>207.36674094314174</v>
      </c>
      <c r="Q28" s="51">
        <f t="shared" si="6"/>
        <v>206.72647527214826</v>
      </c>
      <c r="R28" s="51">
        <f t="shared" si="6"/>
        <v>205.67873717941015</v>
      </c>
    </row>
    <row r="29" spans="2:18" x14ac:dyDescent="0.35">
      <c r="B29" s="57" t="s">
        <v>96</v>
      </c>
      <c r="C29" s="57">
        <f>+C22</f>
        <v>-1240</v>
      </c>
      <c r="D29" s="58">
        <f t="shared" ref="D29:Q29" si="7">+D28+D25</f>
        <v>17.755152593277145</v>
      </c>
      <c r="E29" s="58">
        <f t="shared" si="7"/>
        <v>81.202052271003339</v>
      </c>
      <c r="F29" s="58">
        <f t="shared" si="7"/>
        <v>133.98525770998029</v>
      </c>
      <c r="G29" s="58">
        <f t="shared" si="7"/>
        <v>170.41686887028933</v>
      </c>
      <c r="H29" s="58">
        <f t="shared" si="7"/>
        <v>198.88309610859255</v>
      </c>
      <c r="I29" s="58">
        <f t="shared" si="7"/>
        <v>219.79692993726047</v>
      </c>
      <c r="J29" s="58">
        <f t="shared" si="7"/>
        <v>234.44630418722193</v>
      </c>
      <c r="K29" s="58">
        <f t="shared" si="7"/>
        <v>244.2807202071989</v>
      </c>
      <c r="L29" s="58">
        <f t="shared" si="7"/>
        <v>231.83179524011254</v>
      </c>
      <c r="M29" s="58">
        <f t="shared" si="7"/>
        <v>235.6134520432272</v>
      </c>
      <c r="N29" s="58">
        <f t="shared" si="7"/>
        <v>228.62985579420166</v>
      </c>
      <c r="O29" s="58">
        <f t="shared" si="7"/>
        <v>229.4214937316716</v>
      </c>
      <c r="P29" s="58">
        <f t="shared" si="7"/>
        <v>229.36674094314174</v>
      </c>
      <c r="Q29" s="58">
        <f t="shared" si="7"/>
        <v>228.72647527214826</v>
      </c>
      <c r="R29" s="58">
        <f>+R28+R25+R22</f>
        <v>407.67873717941018</v>
      </c>
    </row>
    <row r="31" spans="2:18" x14ac:dyDescent="0.35">
      <c r="B31" t="s">
        <v>63</v>
      </c>
      <c r="C31" s="53">
        <f>NPV(G19,D29:R29)</f>
        <v>1368.5491647163192</v>
      </c>
      <c r="K31" s="5" t="s">
        <v>97</v>
      </c>
      <c r="L31" s="54">
        <v>8</v>
      </c>
    </row>
    <row r="32" spans="2:18" x14ac:dyDescent="0.35">
      <c r="C32" s="55"/>
    </row>
    <row r="33" spans="2:18" x14ac:dyDescent="0.35">
      <c r="B33" t="s">
        <v>98</v>
      </c>
      <c r="I33" s="43"/>
      <c r="L33" s="56"/>
    </row>
    <row r="34" spans="2:18" x14ac:dyDescent="0.35">
      <c r="B34" t="s">
        <v>99</v>
      </c>
      <c r="D34" s="17">
        <f>+$H$8*EXP(-$H$9*EXP(-$H$10*D35))</f>
        <v>117.75515259327715</v>
      </c>
      <c r="E34" s="17">
        <f t="shared" ref="E34:R34" si="8">+$H$8*EXP(-$H$9*EXP(-$H$10*E35))</f>
        <v>183.20205227100334</v>
      </c>
      <c r="F34" s="17">
        <f t="shared" si="8"/>
        <v>246.37608244282896</v>
      </c>
      <c r="G34" s="17">
        <f t="shared" si="8"/>
        <v>300.50204124327047</v>
      </c>
      <c r="H34" s="17">
        <f t="shared" si="8"/>
        <v>343.29049615513225</v>
      </c>
      <c r="I34" s="17">
        <f t="shared" si="8"/>
        <v>375.33226594465782</v>
      </c>
      <c r="J34" s="17">
        <f t="shared" si="8"/>
        <v>398.46810505100274</v>
      </c>
      <c r="K34" s="17">
        <f t="shared" si="8"/>
        <v>414.76959563235499</v>
      </c>
      <c r="L34" s="17">
        <f t="shared" si="8"/>
        <v>426.06850272895878</v>
      </c>
      <c r="M34" s="17">
        <f t="shared" si="8"/>
        <v>433.81418835255568</v>
      </c>
      <c r="N34" s="17">
        <f t="shared" si="8"/>
        <v>439.08495027690662</v>
      </c>
      <c r="O34" s="17">
        <f t="shared" si="8"/>
        <v>442.65385045613897</v>
      </c>
      <c r="P34" s="17">
        <f t="shared" si="8"/>
        <v>445.06238080359992</v>
      </c>
      <c r="Q34" s="17">
        <f t="shared" si="8"/>
        <v>446.68419914844861</v>
      </c>
      <c r="R34" s="17">
        <f t="shared" si="8"/>
        <v>447.77464370544459</v>
      </c>
    </row>
    <row r="35" spans="2:18" x14ac:dyDescent="0.35">
      <c r="D35" s="5">
        <v>1</v>
      </c>
      <c r="E35" s="5">
        <v>2</v>
      </c>
      <c r="F35" s="5">
        <v>3</v>
      </c>
      <c r="G35" s="5">
        <v>4</v>
      </c>
      <c r="H35" s="5">
        <v>5</v>
      </c>
      <c r="I35" s="5">
        <v>6</v>
      </c>
      <c r="J35" s="50">
        <v>7</v>
      </c>
      <c r="K35" s="5">
        <v>8</v>
      </c>
      <c r="L35" s="5">
        <v>9</v>
      </c>
      <c r="M35" s="51">
        <v>10</v>
      </c>
      <c r="N35" s="51">
        <v>11</v>
      </c>
      <c r="O35" s="51">
        <v>12</v>
      </c>
      <c r="P35" s="51">
        <v>13</v>
      </c>
      <c r="Q35" s="51">
        <v>14</v>
      </c>
      <c r="R35" s="51">
        <v>15</v>
      </c>
    </row>
    <row r="36" spans="2:18" x14ac:dyDescent="0.35">
      <c r="B36" t="s">
        <v>102</v>
      </c>
      <c r="J36" s="43"/>
      <c r="M36" s="56"/>
      <c r="N36" s="56"/>
      <c r="O36" s="56"/>
      <c r="P36" s="56"/>
      <c r="Q36" s="56"/>
      <c r="R36" s="56"/>
    </row>
    <row r="37" spans="2:18" x14ac:dyDescent="0.35">
      <c r="C37" s="5" t="s">
        <v>74</v>
      </c>
      <c r="D37" s="5">
        <f>+D4/E4</f>
        <v>30</v>
      </c>
      <c r="E37" s="5">
        <f t="shared" ref="E37:M37" si="9">+D37</f>
        <v>30</v>
      </c>
      <c r="F37" s="5">
        <f t="shared" si="9"/>
        <v>30</v>
      </c>
      <c r="G37" s="5">
        <f t="shared" si="9"/>
        <v>30</v>
      </c>
      <c r="H37" s="5">
        <f t="shared" si="9"/>
        <v>30</v>
      </c>
      <c r="I37" s="5">
        <f t="shared" si="9"/>
        <v>30</v>
      </c>
      <c r="J37" s="5">
        <f t="shared" si="9"/>
        <v>30</v>
      </c>
      <c r="K37" s="5">
        <f t="shared" si="9"/>
        <v>30</v>
      </c>
      <c r="L37" s="5">
        <f t="shared" si="9"/>
        <v>30</v>
      </c>
      <c r="M37" s="5">
        <f t="shared" si="9"/>
        <v>30</v>
      </c>
      <c r="N37" s="51"/>
      <c r="O37" s="51"/>
      <c r="P37" s="51"/>
      <c r="Q37" s="51"/>
      <c r="R37" s="51"/>
    </row>
    <row r="38" spans="2:18" x14ac:dyDescent="0.35">
      <c r="C38" s="5" t="s">
        <v>100</v>
      </c>
      <c r="D38" s="5">
        <f>+IF($L$31&gt;=D21,$D$5/$L$31,0)</f>
        <v>62.5</v>
      </c>
      <c r="E38" s="5">
        <f t="shared" ref="E38:M38" si="10">+IF($L$31&gt;=E21,$D$5/$L$31,0)</f>
        <v>62.5</v>
      </c>
      <c r="F38" s="5">
        <f t="shared" si="10"/>
        <v>62.5</v>
      </c>
      <c r="G38" s="5">
        <f t="shared" si="10"/>
        <v>62.5</v>
      </c>
      <c r="H38" s="5">
        <f t="shared" si="10"/>
        <v>62.5</v>
      </c>
      <c r="I38" s="5">
        <f t="shared" si="10"/>
        <v>62.5</v>
      </c>
      <c r="J38" s="5">
        <f t="shared" si="10"/>
        <v>62.5</v>
      </c>
      <c r="K38" s="5">
        <f t="shared" si="10"/>
        <v>62.5</v>
      </c>
      <c r="L38" s="5">
        <f t="shared" si="10"/>
        <v>0</v>
      </c>
      <c r="M38" s="5">
        <f t="shared" si="10"/>
        <v>0</v>
      </c>
      <c r="N38" s="51"/>
      <c r="O38" s="51"/>
      <c r="P38" s="51"/>
      <c r="Q38" s="51"/>
      <c r="R38" s="51"/>
    </row>
    <row r="39" spans="2:18" x14ac:dyDescent="0.35">
      <c r="C39" s="5" t="s">
        <v>76</v>
      </c>
      <c r="D39" s="5">
        <f>D6/E6</f>
        <v>22</v>
      </c>
      <c r="E39" s="5">
        <f t="shared" ref="E39:R39" si="11">+D39</f>
        <v>22</v>
      </c>
      <c r="F39" s="5">
        <f t="shared" si="11"/>
        <v>22</v>
      </c>
      <c r="G39" s="5">
        <f t="shared" si="11"/>
        <v>22</v>
      </c>
      <c r="H39" s="5">
        <f t="shared" si="11"/>
        <v>22</v>
      </c>
      <c r="I39" s="5">
        <f t="shared" si="11"/>
        <v>22</v>
      </c>
      <c r="J39" s="5">
        <f t="shared" si="11"/>
        <v>22</v>
      </c>
      <c r="K39" s="5">
        <f t="shared" si="11"/>
        <v>22</v>
      </c>
      <c r="L39" s="5">
        <f t="shared" si="11"/>
        <v>22</v>
      </c>
      <c r="M39" s="5">
        <f t="shared" si="11"/>
        <v>22</v>
      </c>
      <c r="N39" s="5">
        <f t="shared" si="11"/>
        <v>22</v>
      </c>
      <c r="O39" s="5">
        <f t="shared" si="11"/>
        <v>22</v>
      </c>
      <c r="P39" s="5">
        <f t="shared" si="11"/>
        <v>22</v>
      </c>
      <c r="Q39" s="5">
        <f t="shared" si="11"/>
        <v>22</v>
      </c>
      <c r="R39" s="5">
        <f t="shared" si="11"/>
        <v>22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5E740-B9FB-400D-AFA6-4DDD61D8C951}">
  <dimension ref="A1:F31"/>
  <sheetViews>
    <sheetView topLeftCell="A15" zoomScale="120" zoomScaleNormal="120" workbookViewId="0">
      <selection activeCell="G13" sqref="G13"/>
    </sheetView>
  </sheetViews>
  <sheetFormatPr baseColWidth="10" defaultRowHeight="12.5" x14ac:dyDescent="0.25"/>
  <cols>
    <col min="1" max="2" width="10.90625" style="60"/>
    <col min="3" max="3" width="12.26953125" style="60" customWidth="1"/>
    <col min="4" max="4" width="14" style="60" customWidth="1"/>
    <col min="5" max="5" width="13.26953125" style="60" customWidth="1"/>
    <col min="6" max="6" width="12.7265625" style="60" customWidth="1"/>
    <col min="7" max="16384" width="10.90625" style="60"/>
  </cols>
  <sheetData>
    <row r="1" spans="1:6" x14ac:dyDescent="0.25">
      <c r="A1" s="60" t="s">
        <v>112</v>
      </c>
    </row>
    <row r="3" spans="1:6" ht="13" x14ac:dyDescent="0.3">
      <c r="B3" s="61" t="s">
        <v>113</v>
      </c>
      <c r="C3" s="61" t="s">
        <v>114</v>
      </c>
      <c r="D3" s="61" t="s">
        <v>115</v>
      </c>
      <c r="E3" s="61" t="s">
        <v>116</v>
      </c>
      <c r="F3" s="61" t="s">
        <v>117</v>
      </c>
    </row>
    <row r="4" spans="1:6" x14ac:dyDescent="0.25">
      <c r="B4" s="62">
        <v>1</v>
      </c>
      <c r="C4" s="62">
        <v>43.92</v>
      </c>
      <c r="D4" s="62">
        <v>51.27</v>
      </c>
      <c r="E4" s="62">
        <v>36.44</v>
      </c>
      <c r="F4" s="62">
        <v>54.08</v>
      </c>
    </row>
    <row r="5" spans="1:6" x14ac:dyDescent="0.25">
      <c r="B5" s="62">
        <v>2</v>
      </c>
      <c r="C5" s="62">
        <v>46.44</v>
      </c>
      <c r="D5" s="62">
        <v>56.42</v>
      </c>
      <c r="E5" s="62">
        <v>37.630000000000003</v>
      </c>
      <c r="F5" s="62">
        <v>60.36</v>
      </c>
    </row>
    <row r="6" spans="1:6" x14ac:dyDescent="0.25">
      <c r="B6" s="62">
        <v>3</v>
      </c>
      <c r="C6" s="62">
        <v>48.95</v>
      </c>
      <c r="D6" s="62">
        <v>61.98</v>
      </c>
      <c r="E6" s="62">
        <v>38.770000000000003</v>
      </c>
      <c r="F6" s="62">
        <v>67.36</v>
      </c>
    </row>
    <row r="7" spans="1:6" x14ac:dyDescent="0.25">
      <c r="B7" s="62">
        <v>4</v>
      </c>
      <c r="C7" s="62">
        <v>51.47</v>
      </c>
      <c r="D7" s="62">
        <v>67.97</v>
      </c>
      <c r="E7" s="62">
        <v>39.880000000000003</v>
      </c>
      <c r="F7" s="62">
        <v>75.180000000000007</v>
      </c>
    </row>
    <row r="8" spans="1:6" x14ac:dyDescent="0.25">
      <c r="B8" s="62">
        <v>5</v>
      </c>
      <c r="C8" s="62">
        <v>53.99</v>
      </c>
      <c r="D8" s="62">
        <v>74.42</v>
      </c>
      <c r="E8" s="62">
        <v>40.950000000000003</v>
      </c>
      <c r="F8" s="62">
        <v>83.9</v>
      </c>
    </row>
    <row r="10" spans="1:6" x14ac:dyDescent="0.25">
      <c r="A10" s="60" t="s">
        <v>118</v>
      </c>
    </row>
    <row r="12" spans="1:6" ht="13" x14ac:dyDescent="0.3">
      <c r="B12" s="61" t="s">
        <v>119</v>
      </c>
      <c r="C12" s="61" t="s">
        <v>120</v>
      </c>
      <c r="D12" s="61" t="s">
        <v>121</v>
      </c>
    </row>
    <row r="13" spans="1:6" x14ac:dyDescent="0.25">
      <c r="B13" s="62">
        <v>-3</v>
      </c>
      <c r="C13" s="62" t="s">
        <v>122</v>
      </c>
      <c r="D13" s="62">
        <v>10</v>
      </c>
    </row>
    <row r="14" spans="1:6" x14ac:dyDescent="0.25">
      <c r="B14" s="62">
        <v>-2</v>
      </c>
      <c r="C14" s="62" t="s">
        <v>74</v>
      </c>
      <c r="D14" s="62">
        <v>30</v>
      </c>
    </row>
    <row r="15" spans="1:6" x14ac:dyDescent="0.25">
      <c r="B15" s="62">
        <v>-1</v>
      </c>
      <c r="C15" s="62" t="s">
        <v>100</v>
      </c>
      <c r="D15" s="62">
        <v>30</v>
      </c>
    </row>
    <row r="17" spans="1:6" x14ac:dyDescent="0.25">
      <c r="A17" s="60" t="s">
        <v>123</v>
      </c>
    </row>
    <row r="19" spans="1:6" x14ac:dyDescent="0.25">
      <c r="A19" s="62"/>
      <c r="B19" s="62">
        <v>1</v>
      </c>
      <c r="C19" s="62">
        <v>2</v>
      </c>
      <c r="D19" s="62">
        <v>3</v>
      </c>
      <c r="E19" s="62">
        <v>4</v>
      </c>
      <c r="F19" s="62">
        <v>5</v>
      </c>
    </row>
    <row r="20" spans="1:6" x14ac:dyDescent="0.25">
      <c r="A20" s="62" t="s">
        <v>92</v>
      </c>
      <c r="B20" s="62">
        <v>20</v>
      </c>
      <c r="C20" s="62">
        <v>20</v>
      </c>
      <c r="D20" s="62">
        <v>20</v>
      </c>
      <c r="E20" s="62">
        <v>21</v>
      </c>
      <c r="F20" s="62">
        <v>21</v>
      </c>
    </row>
    <row r="22" spans="1:6" x14ac:dyDescent="0.25">
      <c r="A22" s="60" t="s">
        <v>124</v>
      </c>
    </row>
    <row r="23" spans="1:6" x14ac:dyDescent="0.25">
      <c r="A23" s="60" t="s">
        <v>125</v>
      </c>
    </row>
    <row r="24" spans="1:6" x14ac:dyDescent="0.25">
      <c r="A24" s="60" t="s">
        <v>126</v>
      </c>
    </row>
    <row r="25" spans="1:6" x14ac:dyDescent="0.25">
      <c r="A25" s="60" t="s">
        <v>127</v>
      </c>
    </row>
    <row r="26" spans="1:6" x14ac:dyDescent="0.25">
      <c r="A26" s="60" t="s">
        <v>128</v>
      </c>
    </row>
    <row r="27" spans="1:6" x14ac:dyDescent="0.25">
      <c r="A27" s="60" t="s">
        <v>129</v>
      </c>
    </row>
    <row r="28" spans="1:6" x14ac:dyDescent="0.25">
      <c r="A28" s="60" t="s">
        <v>130</v>
      </c>
    </row>
    <row r="29" spans="1:6" x14ac:dyDescent="0.25">
      <c r="A29" s="60" t="s">
        <v>131</v>
      </c>
    </row>
    <row r="30" spans="1:6" x14ac:dyDescent="0.25">
      <c r="A30" s="60" t="s">
        <v>132</v>
      </c>
    </row>
    <row r="31" spans="1:6" x14ac:dyDescent="0.25">
      <c r="A31" s="60" t="s">
        <v>133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1400C-C8E5-43F8-8293-5B98351CAEED}">
  <dimension ref="B1:AA51"/>
  <sheetViews>
    <sheetView topLeftCell="A9" zoomScale="120" zoomScaleNormal="120" workbookViewId="0">
      <selection activeCell="U51" sqref="U51"/>
    </sheetView>
  </sheetViews>
  <sheetFormatPr baseColWidth="10" defaultRowHeight="12.5" x14ac:dyDescent="0.25"/>
  <cols>
    <col min="1" max="1" width="0.54296875" style="60" customWidth="1"/>
    <col min="2" max="3" width="6.7265625" style="60" customWidth="1"/>
    <col min="4" max="4" width="5.26953125" style="60" customWidth="1"/>
    <col min="5" max="5" width="6.7265625" style="60" customWidth="1"/>
    <col min="6" max="6" width="5.26953125" style="60" customWidth="1"/>
    <col min="7" max="7" width="5.7265625" style="60" customWidth="1"/>
    <col min="8" max="8" width="6.7265625" style="60" customWidth="1"/>
    <col min="9" max="9" width="7.453125" style="60" customWidth="1"/>
    <col min="10" max="25" width="6.7265625" style="60" customWidth="1"/>
    <col min="26" max="27" width="7" style="60" customWidth="1"/>
    <col min="28" max="16384" width="10.90625" style="60"/>
  </cols>
  <sheetData>
    <row r="1" spans="2:27" ht="13" thickBot="1" x14ac:dyDescent="0.3">
      <c r="K1" s="63"/>
      <c r="L1" s="63"/>
      <c r="M1" s="63"/>
      <c r="N1" s="63"/>
      <c r="O1" s="63"/>
    </row>
    <row r="2" spans="2:27" ht="13" thickBot="1" x14ac:dyDescent="0.3">
      <c r="B2" s="60" t="s">
        <v>134</v>
      </c>
      <c r="D2" s="64"/>
      <c r="K2" s="65" t="s">
        <v>135</v>
      </c>
      <c r="L2" s="66"/>
      <c r="M2" s="67"/>
      <c r="N2" s="68"/>
      <c r="O2" s="69" t="s">
        <v>136</v>
      </c>
      <c r="Q2" s="65" t="s">
        <v>135</v>
      </c>
      <c r="R2" s="66"/>
      <c r="S2" s="67"/>
      <c r="T2" s="68"/>
      <c r="U2" s="69" t="s">
        <v>136</v>
      </c>
    </row>
    <row r="3" spans="2:27" x14ac:dyDescent="0.25">
      <c r="B3" s="62" t="s">
        <v>137</v>
      </c>
      <c r="C3" s="70">
        <f>+U3</f>
        <v>7.0000000000000007E-2</v>
      </c>
      <c r="K3" s="71" t="s">
        <v>138</v>
      </c>
      <c r="L3" s="72"/>
      <c r="M3" s="73"/>
      <c r="N3" s="74"/>
      <c r="O3" s="75">
        <v>2.8000000000000001E-2</v>
      </c>
      <c r="Q3" s="71" t="s">
        <v>139</v>
      </c>
      <c r="R3" s="72"/>
      <c r="S3" s="73"/>
      <c r="T3" s="74"/>
      <c r="U3" s="76">
        <v>7.0000000000000007E-2</v>
      </c>
    </row>
    <row r="4" spans="2:27" x14ac:dyDescent="0.25">
      <c r="B4" s="77" t="s">
        <v>140</v>
      </c>
      <c r="C4" s="78">
        <f>+C3*(1-O7)</f>
        <v>4.9000000000000002E-2</v>
      </c>
      <c r="G4" s="79" t="s">
        <v>141</v>
      </c>
      <c r="K4" s="80" t="s">
        <v>142</v>
      </c>
      <c r="L4" s="63"/>
      <c r="M4" s="79"/>
      <c r="N4" s="81"/>
      <c r="O4" s="82">
        <v>7.0000000000000007E-2</v>
      </c>
      <c r="Q4" s="80" t="s">
        <v>143</v>
      </c>
      <c r="R4" s="83"/>
      <c r="S4" s="79"/>
      <c r="T4" s="84"/>
      <c r="U4" s="85">
        <v>0</v>
      </c>
    </row>
    <row r="5" spans="2:27" x14ac:dyDescent="0.25">
      <c r="B5" s="77" t="s">
        <v>144</v>
      </c>
      <c r="C5" s="86">
        <f>+U4</f>
        <v>0</v>
      </c>
      <c r="E5" s="63"/>
      <c r="F5" s="79"/>
      <c r="G5" s="63" t="s">
        <v>145</v>
      </c>
      <c r="H5" s="63"/>
      <c r="K5" s="80" t="s">
        <v>146</v>
      </c>
      <c r="L5" s="63"/>
      <c r="M5" s="79"/>
      <c r="N5" s="81"/>
      <c r="O5" s="87">
        <v>0.84</v>
      </c>
      <c r="Q5" s="80" t="s">
        <v>147</v>
      </c>
      <c r="T5" s="84"/>
      <c r="U5" s="85">
        <f>1-U4</f>
        <v>1</v>
      </c>
    </row>
    <row r="6" spans="2:27" ht="13" thickBot="1" x14ac:dyDescent="0.3">
      <c r="B6" s="88" t="s">
        <v>54</v>
      </c>
      <c r="C6" s="89">
        <f>+O3+O5*O4+O6</f>
        <v>0.1028</v>
      </c>
      <c r="E6" s="63"/>
      <c r="F6" s="79"/>
      <c r="G6" s="79"/>
      <c r="H6" s="63"/>
      <c r="K6" s="80" t="s">
        <v>148</v>
      </c>
      <c r="L6" s="63"/>
      <c r="M6" s="79"/>
      <c r="N6" s="81"/>
      <c r="O6" s="90">
        <v>1.6E-2</v>
      </c>
      <c r="Q6" s="91"/>
      <c r="R6" s="92"/>
      <c r="S6" s="92"/>
      <c r="T6" s="93"/>
      <c r="U6" s="94"/>
    </row>
    <row r="7" spans="2:27" ht="13" thickBot="1" x14ac:dyDescent="0.3">
      <c r="B7" s="77" t="s">
        <v>149</v>
      </c>
      <c r="C7" s="86">
        <f>+U5</f>
        <v>1</v>
      </c>
      <c r="K7" s="91" t="s">
        <v>150</v>
      </c>
      <c r="L7" s="95"/>
      <c r="M7" s="96"/>
      <c r="N7" s="97"/>
      <c r="O7" s="98">
        <v>0.3</v>
      </c>
    </row>
    <row r="8" spans="2:27" x14ac:dyDescent="0.25">
      <c r="B8" s="99" t="s">
        <v>151</v>
      </c>
      <c r="C8" s="100">
        <f>+C6*C7+C5*C4</f>
        <v>0.1028</v>
      </c>
      <c r="K8" s="63"/>
      <c r="L8" s="63"/>
      <c r="M8" s="79"/>
      <c r="N8" s="63"/>
      <c r="O8" s="101"/>
    </row>
    <row r="10" spans="2:27" ht="13" x14ac:dyDescent="0.3">
      <c r="B10" s="102" t="s">
        <v>152</v>
      </c>
      <c r="C10" s="63"/>
      <c r="D10" s="63"/>
      <c r="E10" s="63"/>
      <c r="F10" s="63"/>
      <c r="G10" s="63"/>
      <c r="H10" s="63">
        <v>1</v>
      </c>
      <c r="I10" s="63">
        <v>2</v>
      </c>
      <c r="J10" s="63">
        <v>3</v>
      </c>
      <c r="K10" s="63">
        <v>4</v>
      </c>
      <c r="L10" s="63">
        <f t="shared" ref="L10" si="0">+K10+1</f>
        <v>5</v>
      </c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</row>
    <row r="11" spans="2:27" x14ac:dyDescent="0.25">
      <c r="C11" s="63" t="s">
        <v>153</v>
      </c>
      <c r="D11" s="63"/>
      <c r="E11" s="63"/>
      <c r="F11" s="63"/>
      <c r="G11" s="63"/>
      <c r="H11" s="103">
        <v>43.92</v>
      </c>
      <c r="I11" s="103">
        <v>46.44</v>
      </c>
      <c r="J11" s="103">
        <v>48.95</v>
      </c>
      <c r="K11" s="103">
        <v>51.47</v>
      </c>
      <c r="L11" s="103">
        <v>53.99</v>
      </c>
      <c r="M11" s="104"/>
      <c r="N11" s="63"/>
      <c r="O11" s="63"/>
      <c r="P11" s="105"/>
      <c r="Q11" s="63"/>
      <c r="R11" s="63"/>
      <c r="S11" s="63"/>
      <c r="T11" s="63"/>
      <c r="U11" s="63"/>
      <c r="V11" s="106"/>
      <c r="W11" s="63"/>
      <c r="X11" s="63"/>
    </row>
    <row r="12" spans="2:27" x14ac:dyDescent="0.25">
      <c r="C12" s="63" t="s">
        <v>154</v>
      </c>
      <c r="D12" s="63"/>
      <c r="E12" s="63"/>
      <c r="F12" s="63"/>
      <c r="G12" s="63"/>
      <c r="H12" s="103">
        <v>51.27</v>
      </c>
      <c r="I12" s="103">
        <v>56.42</v>
      </c>
      <c r="J12" s="103">
        <v>61.98</v>
      </c>
      <c r="K12" s="103">
        <v>67.97</v>
      </c>
      <c r="L12" s="103">
        <v>74.42</v>
      </c>
      <c r="M12" s="104"/>
      <c r="N12" s="63"/>
      <c r="O12" s="63"/>
      <c r="P12" s="63"/>
      <c r="Q12" s="63"/>
      <c r="R12" s="63"/>
      <c r="X12" s="63"/>
      <c r="Y12" s="63"/>
      <c r="Z12" s="63"/>
      <c r="AA12" s="63"/>
    </row>
    <row r="13" spans="2:27" x14ac:dyDescent="0.25">
      <c r="C13" s="63" t="s">
        <v>155</v>
      </c>
      <c r="D13" s="63"/>
      <c r="E13" s="63"/>
      <c r="F13" s="63"/>
      <c r="G13" s="63"/>
      <c r="H13" s="88">
        <v>36.44</v>
      </c>
      <c r="I13" s="88">
        <v>37.630000000000003</v>
      </c>
      <c r="J13" s="88">
        <v>38.770000000000003</v>
      </c>
      <c r="K13" s="88">
        <v>39.880000000000003</v>
      </c>
      <c r="L13" s="88">
        <v>40.950000000000003</v>
      </c>
      <c r="M13" s="104"/>
      <c r="N13" s="63"/>
      <c r="O13" s="79" t="s">
        <v>156</v>
      </c>
      <c r="P13" s="79"/>
      <c r="Q13" s="63"/>
      <c r="R13" s="63"/>
      <c r="X13" s="63"/>
      <c r="Z13" s="63"/>
      <c r="AA13" s="63"/>
    </row>
    <row r="14" spans="2:27" x14ac:dyDescent="0.25">
      <c r="C14" s="63" t="s">
        <v>157</v>
      </c>
      <c r="D14" s="63"/>
      <c r="E14" s="63"/>
      <c r="F14" s="63"/>
      <c r="G14" s="63"/>
      <c r="H14" s="107">
        <v>54.08</v>
      </c>
      <c r="I14" s="107">
        <v>60.36</v>
      </c>
      <c r="J14" s="107">
        <v>67.36</v>
      </c>
      <c r="K14" s="107">
        <v>75.180000000000007</v>
      </c>
      <c r="L14" s="108">
        <v>83.9</v>
      </c>
      <c r="N14" s="63"/>
      <c r="O14" s="79" t="s">
        <v>158</v>
      </c>
      <c r="P14" s="79"/>
      <c r="Q14" s="109"/>
      <c r="R14" s="109"/>
      <c r="X14" s="79"/>
      <c r="Z14" s="63"/>
      <c r="AA14" s="63"/>
    </row>
    <row r="15" spans="2:27" x14ac:dyDescent="0.25"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79"/>
      <c r="P15" s="79"/>
      <c r="Q15" s="109"/>
      <c r="R15" s="109"/>
      <c r="X15" s="79"/>
      <c r="Z15" s="63"/>
      <c r="AA15" s="63"/>
    </row>
    <row r="16" spans="2:27" x14ac:dyDescent="0.25">
      <c r="B16" s="63"/>
      <c r="C16" s="106"/>
      <c r="D16" s="106"/>
      <c r="E16" s="63"/>
      <c r="F16" s="63"/>
      <c r="G16" s="105"/>
      <c r="H16" s="63"/>
      <c r="I16" s="63"/>
      <c r="J16" s="105"/>
      <c r="K16" s="104"/>
      <c r="L16" s="104"/>
      <c r="M16" s="79"/>
      <c r="N16" s="63"/>
      <c r="O16" s="79"/>
      <c r="P16" s="79"/>
      <c r="Q16" s="109"/>
      <c r="R16" s="109"/>
      <c r="X16" s="79"/>
      <c r="Z16" s="63"/>
      <c r="AA16" s="63"/>
    </row>
    <row r="17" spans="2:27" x14ac:dyDescent="0.25">
      <c r="B17" s="110" t="s">
        <v>159</v>
      </c>
      <c r="C17" s="111"/>
      <c r="K17" s="63"/>
      <c r="L17" s="63"/>
      <c r="M17" s="63"/>
      <c r="N17" s="83"/>
      <c r="O17" s="79"/>
      <c r="P17" s="79"/>
      <c r="Q17" s="109"/>
      <c r="R17" s="109"/>
      <c r="X17" s="79"/>
      <c r="Y17" s="63"/>
      <c r="Z17" s="63"/>
      <c r="AA17" s="63"/>
    </row>
    <row r="18" spans="2:27" x14ac:dyDescent="0.25">
      <c r="B18" s="110"/>
      <c r="C18" s="111"/>
      <c r="K18" s="63"/>
      <c r="L18" s="63"/>
      <c r="M18" s="63"/>
    </row>
    <row r="19" spans="2:27" x14ac:dyDescent="0.25">
      <c r="B19" s="63"/>
      <c r="C19" s="63"/>
      <c r="D19" s="77">
        <v>-3</v>
      </c>
      <c r="E19" s="77">
        <v>-2</v>
      </c>
      <c r="F19" s="77">
        <v>-1</v>
      </c>
      <c r="G19" s="112">
        <v>0</v>
      </c>
      <c r="H19" s="77">
        <v>1</v>
      </c>
      <c r="I19" s="77">
        <v>2</v>
      </c>
      <c r="J19" s="77">
        <v>3</v>
      </c>
      <c r="K19" s="77">
        <v>4</v>
      </c>
      <c r="L19" s="77">
        <v>5</v>
      </c>
      <c r="M19" s="63"/>
    </row>
    <row r="20" spans="2:27" x14ac:dyDescent="0.25">
      <c r="B20" s="63" t="s">
        <v>49</v>
      </c>
      <c r="C20" s="63"/>
      <c r="D20" s="77">
        <v>10</v>
      </c>
      <c r="E20" s="77">
        <v>30</v>
      </c>
      <c r="F20" s="77">
        <v>30</v>
      </c>
      <c r="G20" s="77">
        <v>0</v>
      </c>
      <c r="H20" s="77"/>
      <c r="I20" s="62"/>
      <c r="J20" s="62"/>
      <c r="K20" s="62"/>
      <c r="L20" s="62"/>
      <c r="M20" s="63"/>
    </row>
    <row r="21" spans="2:27" x14ac:dyDescent="0.25">
      <c r="B21" s="63"/>
      <c r="D21" s="113" t="s">
        <v>160</v>
      </c>
      <c r="E21" s="113" t="s">
        <v>161</v>
      </c>
      <c r="F21" s="113" t="s">
        <v>162</v>
      </c>
      <c r="M21" s="63"/>
    </row>
    <row r="22" spans="2:27" x14ac:dyDescent="0.25">
      <c r="B22" s="63"/>
      <c r="M22" s="63"/>
    </row>
    <row r="23" spans="2:27" x14ac:dyDescent="0.25">
      <c r="B23" s="8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</row>
    <row r="24" spans="2:27" x14ac:dyDescent="0.25">
      <c r="B24" s="63" t="s">
        <v>163</v>
      </c>
      <c r="C24" s="63"/>
      <c r="D24" s="63"/>
      <c r="E24" s="63"/>
      <c r="F24" s="63"/>
      <c r="G24" s="114">
        <v>0</v>
      </c>
      <c r="H24" s="115">
        <v>1</v>
      </c>
      <c r="I24" s="115">
        <v>2</v>
      </c>
      <c r="J24" s="115">
        <v>3</v>
      </c>
      <c r="K24" s="115">
        <v>4</v>
      </c>
      <c r="L24" s="116">
        <v>5</v>
      </c>
      <c r="M24" s="83"/>
      <c r="N24" s="110" t="s">
        <v>164</v>
      </c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</row>
    <row r="25" spans="2:27" x14ac:dyDescent="0.25">
      <c r="B25" s="63" t="s">
        <v>165</v>
      </c>
      <c r="C25" s="63"/>
      <c r="D25" s="63"/>
      <c r="E25" s="63"/>
      <c r="F25" s="63"/>
      <c r="G25" s="117">
        <f>+D20*(1+C6)^3</f>
        <v>13.41189893952</v>
      </c>
      <c r="H25" s="63"/>
      <c r="I25" s="63"/>
      <c r="J25" s="63"/>
      <c r="K25" s="63"/>
      <c r="L25" s="118">
        <f>+Q38</f>
        <v>8.7059494697600002</v>
      </c>
      <c r="N25" s="63" t="s">
        <v>160</v>
      </c>
      <c r="R25" s="63"/>
      <c r="S25" s="63" t="s">
        <v>161</v>
      </c>
      <c r="U25" s="63"/>
      <c r="V25" s="63"/>
      <c r="W25" s="63"/>
      <c r="X25" s="63" t="s">
        <v>162</v>
      </c>
      <c r="Y25" s="63"/>
      <c r="Z25" s="63"/>
      <c r="AA25" s="63"/>
    </row>
    <row r="26" spans="2:27" x14ac:dyDescent="0.25">
      <c r="B26" s="63" t="s">
        <v>166</v>
      </c>
      <c r="C26" s="63"/>
      <c r="D26" s="63"/>
      <c r="E26" s="63"/>
      <c r="F26" s="63"/>
      <c r="G26" s="117">
        <f>+E20*(1+C6)^2</f>
        <v>36.485035199999999</v>
      </c>
      <c r="H26" s="63"/>
      <c r="I26" s="63"/>
      <c r="J26" s="63"/>
      <c r="K26" s="63"/>
      <c r="L26" s="118">
        <f>+V38</f>
        <v>7.7475058666666614</v>
      </c>
      <c r="M26" s="119"/>
      <c r="N26" s="63" t="s">
        <v>167</v>
      </c>
      <c r="O26" s="79">
        <f>+G25</f>
        <v>13.41189893952</v>
      </c>
      <c r="R26" s="63"/>
      <c r="S26" s="63" t="s">
        <v>167</v>
      </c>
      <c r="T26" s="79">
        <f>+G26</f>
        <v>36.485035199999999</v>
      </c>
      <c r="U26" s="63"/>
      <c r="V26" s="63"/>
      <c r="W26" s="63"/>
      <c r="X26" s="63" t="s">
        <v>167</v>
      </c>
      <c r="Y26" s="79">
        <f>+G27</f>
        <v>33.084000000000003</v>
      </c>
      <c r="Z26" s="63"/>
      <c r="AA26" s="63"/>
    </row>
    <row r="27" spans="2:27" x14ac:dyDescent="0.25">
      <c r="B27" s="63" t="s">
        <v>168</v>
      </c>
      <c r="C27" s="63"/>
      <c r="D27" s="63"/>
      <c r="E27" s="63"/>
      <c r="F27" s="63"/>
      <c r="G27" s="120">
        <f>+F20*(1+C6)</f>
        <v>33.084000000000003</v>
      </c>
      <c r="H27" s="121"/>
      <c r="I27" s="121"/>
      <c r="J27" s="121"/>
      <c r="K27" s="121"/>
      <c r="L27" s="122">
        <f>+AA38</f>
        <v>2.0000000000000018</v>
      </c>
      <c r="M27" s="119"/>
      <c r="N27" s="63" t="s">
        <v>169</v>
      </c>
      <c r="O27" s="63">
        <v>4</v>
      </c>
      <c r="P27" s="63"/>
      <c r="Q27" s="63"/>
      <c r="R27" s="63"/>
      <c r="S27" s="63" t="s">
        <v>169</v>
      </c>
      <c r="T27" s="63">
        <v>2</v>
      </c>
      <c r="U27" s="63"/>
      <c r="V27" s="63"/>
      <c r="W27" s="63"/>
      <c r="X27" s="63" t="s">
        <v>169</v>
      </c>
      <c r="Y27" s="63">
        <v>2</v>
      </c>
      <c r="Z27" s="63"/>
      <c r="AA27" s="63"/>
    </row>
    <row r="28" spans="2:27" x14ac:dyDescent="0.25">
      <c r="B28" s="63"/>
      <c r="C28" s="63"/>
      <c r="D28" s="63"/>
      <c r="E28" s="63"/>
      <c r="F28" s="63"/>
      <c r="M28" s="119"/>
      <c r="N28" s="63" t="s">
        <v>72</v>
      </c>
      <c r="O28" s="63">
        <v>10</v>
      </c>
      <c r="P28" s="63"/>
      <c r="Q28" s="63"/>
      <c r="R28" s="63"/>
      <c r="S28" s="63" t="s">
        <v>72</v>
      </c>
      <c r="T28" s="63">
        <v>6</v>
      </c>
      <c r="U28" s="63"/>
      <c r="V28" s="63"/>
      <c r="W28" s="63"/>
      <c r="X28" s="63" t="s">
        <v>72</v>
      </c>
      <c r="Y28" s="63">
        <v>5</v>
      </c>
      <c r="Z28" s="63"/>
      <c r="AA28" s="63"/>
    </row>
    <row r="29" spans="2:27" x14ac:dyDescent="0.25">
      <c r="B29" s="63" t="s">
        <v>49</v>
      </c>
      <c r="C29" s="63"/>
      <c r="D29" s="63"/>
      <c r="E29" s="63"/>
      <c r="F29" s="63"/>
      <c r="G29" s="123">
        <f>-(+G25+G26+G27)</f>
        <v>-82.980934139520002</v>
      </c>
      <c r="H29" s="88"/>
      <c r="I29" s="88"/>
      <c r="J29" s="88"/>
      <c r="K29" s="88"/>
      <c r="L29" s="123">
        <f>+L25+L26+L27</f>
        <v>18.453455336426664</v>
      </c>
      <c r="M29" s="109"/>
      <c r="N29" s="63" t="s">
        <v>170</v>
      </c>
      <c r="O29" s="63"/>
      <c r="P29" s="63"/>
      <c r="Q29" s="63"/>
      <c r="R29" s="63"/>
      <c r="S29" s="63" t="s">
        <v>170</v>
      </c>
      <c r="T29" s="63"/>
      <c r="U29" s="63"/>
      <c r="V29" s="63"/>
      <c r="W29" s="63"/>
      <c r="X29" s="63" t="s">
        <v>170</v>
      </c>
      <c r="Y29" s="63"/>
      <c r="Z29" s="63"/>
      <c r="AA29" s="63"/>
    </row>
    <row r="30" spans="2:27" x14ac:dyDescent="0.25">
      <c r="B30" s="63" t="s">
        <v>55</v>
      </c>
      <c r="C30" s="63"/>
      <c r="D30" s="63"/>
      <c r="E30" s="63"/>
      <c r="G30" s="124"/>
      <c r="H30" s="124">
        <f>+H13</f>
        <v>36.44</v>
      </c>
      <c r="I30" s="124">
        <f t="shared" ref="I30:L30" si="1">+I13</f>
        <v>37.630000000000003</v>
      </c>
      <c r="J30" s="124">
        <f t="shared" si="1"/>
        <v>38.770000000000003</v>
      </c>
      <c r="K30" s="124">
        <f t="shared" si="1"/>
        <v>39.880000000000003</v>
      </c>
      <c r="L30" s="124">
        <f t="shared" si="1"/>
        <v>40.950000000000003</v>
      </c>
      <c r="N30" s="63"/>
      <c r="O30" s="63"/>
      <c r="P30" s="63"/>
      <c r="Q30" s="63"/>
      <c r="R30" s="63"/>
      <c r="S30" s="63"/>
      <c r="T30" s="79"/>
      <c r="U30" s="63"/>
      <c r="V30" s="63"/>
      <c r="W30" s="63"/>
      <c r="X30" s="63"/>
      <c r="Y30" s="125"/>
      <c r="Z30" s="63"/>
      <c r="AA30" s="63"/>
    </row>
    <row r="31" spans="2:27" x14ac:dyDescent="0.25">
      <c r="B31" s="63" t="s">
        <v>92</v>
      </c>
      <c r="C31" s="63"/>
      <c r="D31" s="63"/>
      <c r="E31" s="63"/>
      <c r="G31" s="124"/>
      <c r="H31" s="124">
        <v>20</v>
      </c>
      <c r="I31" s="124">
        <v>20</v>
      </c>
      <c r="J31" s="124">
        <v>20</v>
      </c>
      <c r="K31" s="124">
        <v>21</v>
      </c>
      <c r="L31" s="124">
        <v>21</v>
      </c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2:27" x14ac:dyDescent="0.25">
      <c r="B32" s="63" t="s">
        <v>58</v>
      </c>
      <c r="C32" s="63"/>
      <c r="D32" s="63"/>
      <c r="E32" s="63"/>
      <c r="G32" s="124"/>
      <c r="H32" s="124">
        <f>+H33+H34+H35</f>
        <v>12.905495760618667</v>
      </c>
      <c r="I32" s="124">
        <f t="shared" ref="I32:L32" si="2">+I33+I34+I35</f>
        <v>12.905495760618667</v>
      </c>
      <c r="J32" s="124">
        <f t="shared" si="2"/>
        <v>12.905495760618667</v>
      </c>
      <c r="K32" s="124">
        <f t="shared" si="2"/>
        <v>12.905495760618667</v>
      </c>
      <c r="L32" s="124">
        <f t="shared" si="2"/>
        <v>12.905495760618667</v>
      </c>
      <c r="N32" s="63" t="s">
        <v>72</v>
      </c>
      <c r="O32" s="63" t="s">
        <v>171</v>
      </c>
      <c r="P32" s="63" t="s">
        <v>172</v>
      </c>
      <c r="Q32" s="63" t="s">
        <v>173</v>
      </c>
      <c r="R32" s="63"/>
      <c r="S32" s="63" t="s">
        <v>72</v>
      </c>
      <c r="T32" s="63" t="s">
        <v>171</v>
      </c>
      <c r="U32" s="63" t="s">
        <v>172</v>
      </c>
      <c r="V32" s="63" t="s">
        <v>173</v>
      </c>
      <c r="W32" s="63"/>
      <c r="X32" s="63" t="s">
        <v>72</v>
      </c>
      <c r="Y32" s="63" t="s">
        <v>171</v>
      </c>
      <c r="Z32" s="63" t="s">
        <v>172</v>
      </c>
      <c r="AA32" s="63" t="s">
        <v>173</v>
      </c>
    </row>
    <row r="33" spans="2:27" x14ac:dyDescent="0.25">
      <c r="B33" s="63"/>
      <c r="C33" s="63" t="s">
        <v>174</v>
      </c>
      <c r="D33" s="63"/>
      <c r="E33" s="63"/>
      <c r="G33" s="126"/>
      <c r="H33" s="127">
        <f>+O34</f>
        <v>0.94118989395200003</v>
      </c>
      <c r="I33" s="127">
        <f>+H33</f>
        <v>0.94118989395200003</v>
      </c>
      <c r="J33" s="127">
        <f>+I33</f>
        <v>0.94118989395200003</v>
      </c>
      <c r="K33" s="127">
        <f>+J33</f>
        <v>0.94118989395200003</v>
      </c>
      <c r="L33" s="128">
        <f>+K33</f>
        <v>0.94118989395200003</v>
      </c>
      <c r="N33" s="77">
        <v>0</v>
      </c>
      <c r="O33" s="129">
        <v>0</v>
      </c>
      <c r="P33" s="129">
        <v>0</v>
      </c>
      <c r="Q33" s="129">
        <f>+G25</f>
        <v>13.41189893952</v>
      </c>
      <c r="R33" s="63"/>
      <c r="S33" s="77">
        <v>0</v>
      </c>
      <c r="T33" s="129">
        <v>0</v>
      </c>
      <c r="U33" s="129">
        <v>0</v>
      </c>
      <c r="V33" s="129">
        <f>+G26</f>
        <v>36.485035199999999</v>
      </c>
      <c r="W33" s="63"/>
      <c r="X33" s="77">
        <v>0</v>
      </c>
      <c r="Y33" s="129">
        <v>0</v>
      </c>
      <c r="Z33" s="129">
        <v>0</v>
      </c>
      <c r="AA33" s="129">
        <f>+Y26</f>
        <v>33.084000000000003</v>
      </c>
    </row>
    <row r="34" spans="2:27" x14ac:dyDescent="0.25">
      <c r="B34" s="63"/>
      <c r="C34" s="63" t="s">
        <v>175</v>
      </c>
      <c r="D34" s="63"/>
      <c r="E34" s="63"/>
      <c r="G34" s="130"/>
      <c r="H34" s="131">
        <f>+T34</f>
        <v>5.7475058666666667</v>
      </c>
      <c r="I34" s="131">
        <f>+T35</f>
        <v>5.7475058666666667</v>
      </c>
      <c r="J34" s="131">
        <f>+T36</f>
        <v>5.7475058666666667</v>
      </c>
      <c r="K34" s="131">
        <f>+T37</f>
        <v>5.7475058666666667</v>
      </c>
      <c r="L34" s="132">
        <f>+T38</f>
        <v>5.7475058666666667</v>
      </c>
      <c r="N34" s="77">
        <v>1</v>
      </c>
      <c r="O34" s="129">
        <f>+(O26-O27)/O28</f>
        <v>0.94118989395200003</v>
      </c>
      <c r="P34" s="129">
        <f>+O34+P33</f>
        <v>0.94118989395200003</v>
      </c>
      <c r="Q34" s="129">
        <f>+Q33-O34</f>
        <v>12.470709045568</v>
      </c>
      <c r="R34" s="63"/>
      <c r="S34" s="77">
        <v>1</v>
      </c>
      <c r="T34" s="129">
        <f>+(T26-T27)/T28</f>
        <v>5.7475058666666667</v>
      </c>
      <c r="U34" s="129">
        <f>+U33+T34</f>
        <v>5.7475058666666667</v>
      </c>
      <c r="V34" s="129">
        <f>+V33-T34</f>
        <v>30.737529333333331</v>
      </c>
      <c r="W34" s="63"/>
      <c r="X34" s="77">
        <v>1</v>
      </c>
      <c r="Y34" s="129">
        <f>+(Y26-Y27)/Y28</f>
        <v>6.216800000000001</v>
      </c>
      <c r="Z34" s="129">
        <f>+Y34+Z33</f>
        <v>6.216800000000001</v>
      </c>
      <c r="AA34" s="129">
        <f>+AA33-Y34</f>
        <v>26.867200000000004</v>
      </c>
    </row>
    <row r="35" spans="2:27" x14ac:dyDescent="0.25">
      <c r="B35" s="63"/>
      <c r="C35" s="63" t="s">
        <v>176</v>
      </c>
      <c r="D35" s="63"/>
      <c r="E35" s="63"/>
      <c r="G35" s="133"/>
      <c r="H35" s="134">
        <f>+Y34</f>
        <v>6.216800000000001</v>
      </c>
      <c r="I35" s="134">
        <f>+Y35</f>
        <v>6.216800000000001</v>
      </c>
      <c r="J35" s="134">
        <f>+Y36</f>
        <v>6.216800000000001</v>
      </c>
      <c r="K35" s="134">
        <f>+Y37</f>
        <v>6.216800000000001</v>
      </c>
      <c r="L35" s="135">
        <f>+Y38</f>
        <v>6.216800000000001</v>
      </c>
      <c r="N35" s="77">
        <v>2</v>
      </c>
      <c r="O35" s="129">
        <f>+O34</f>
        <v>0.94118989395200003</v>
      </c>
      <c r="P35" s="129">
        <f>+O35+P34</f>
        <v>1.8823797879040001</v>
      </c>
      <c r="Q35" s="129">
        <f>+Q34-O35</f>
        <v>11.529519151616</v>
      </c>
      <c r="R35" s="63"/>
      <c r="S35" s="77">
        <v>2</v>
      </c>
      <c r="T35" s="129">
        <f>+T34</f>
        <v>5.7475058666666667</v>
      </c>
      <c r="U35" s="129">
        <f>+U34+T35</f>
        <v>11.495011733333333</v>
      </c>
      <c r="V35" s="129">
        <f>+V34-T35</f>
        <v>24.990023466666663</v>
      </c>
      <c r="X35" s="77">
        <v>2</v>
      </c>
      <c r="Y35" s="129">
        <f>+Y34</f>
        <v>6.216800000000001</v>
      </c>
      <c r="Z35" s="129">
        <f t="shared" ref="Z35:Z38" si="3">+Y35+Z34</f>
        <v>12.433600000000002</v>
      </c>
      <c r="AA35" s="129">
        <f t="shared" ref="AA35:AA38" si="4">+AA34-Y35</f>
        <v>20.650400000000005</v>
      </c>
    </row>
    <row r="36" spans="2:27" x14ac:dyDescent="0.25">
      <c r="B36" s="63" t="s">
        <v>177</v>
      </c>
      <c r="C36" s="63"/>
      <c r="D36" s="63"/>
      <c r="E36" s="63"/>
      <c r="F36" s="63"/>
      <c r="G36" s="136"/>
      <c r="H36" s="124">
        <f>+H30-H31-H32</f>
        <v>3.5345042393813308</v>
      </c>
      <c r="I36" s="124">
        <f t="shared" ref="I36:K36" si="5">+I30-I31-I32</f>
        <v>4.7245042393813357</v>
      </c>
      <c r="J36" s="124">
        <f t="shared" si="5"/>
        <v>5.8645042393813362</v>
      </c>
      <c r="K36" s="124">
        <f t="shared" si="5"/>
        <v>5.9745042393813357</v>
      </c>
      <c r="L36" s="124">
        <f>+L30-L31-L32</f>
        <v>7.044504239381336</v>
      </c>
      <c r="N36" s="77">
        <v>3</v>
      </c>
      <c r="O36" s="129">
        <f t="shared" ref="O36:O43" si="6">+O35</f>
        <v>0.94118989395200003</v>
      </c>
      <c r="P36" s="129">
        <f t="shared" ref="P36:P43" si="7">+O36+P35</f>
        <v>2.8235696818560001</v>
      </c>
      <c r="Q36" s="129">
        <f t="shared" ref="Q36:Q43" si="8">+Q35-O36</f>
        <v>10.588329257664</v>
      </c>
      <c r="R36" s="63"/>
      <c r="S36" s="77">
        <v>3</v>
      </c>
      <c r="T36" s="129">
        <f t="shared" ref="T36:T39" si="9">+T35</f>
        <v>5.7475058666666667</v>
      </c>
      <c r="U36" s="129">
        <f t="shared" ref="U36:U39" si="10">+U35+T36</f>
        <v>17.242517599999999</v>
      </c>
      <c r="V36" s="129">
        <f>+V35-T36</f>
        <v>19.242517599999996</v>
      </c>
      <c r="X36" s="77">
        <v>3</v>
      </c>
      <c r="Y36" s="129">
        <f t="shared" ref="Y36:Y38" si="11">+Y35</f>
        <v>6.216800000000001</v>
      </c>
      <c r="Z36" s="129">
        <f t="shared" si="3"/>
        <v>18.650400000000005</v>
      </c>
      <c r="AA36" s="129">
        <f t="shared" si="4"/>
        <v>14.433600000000004</v>
      </c>
    </row>
    <row r="37" spans="2:27" x14ac:dyDescent="0.25">
      <c r="B37" s="63" t="s">
        <v>178</v>
      </c>
      <c r="C37" s="63"/>
      <c r="D37" s="63"/>
      <c r="E37" s="63"/>
      <c r="F37" s="63"/>
      <c r="G37" s="124"/>
      <c r="H37" s="124">
        <f>IF(H36&lt;0,0,H36*0.3)</f>
        <v>1.0603512718143993</v>
      </c>
      <c r="I37" s="124">
        <f>IF(I36&lt;0,0,I36*0.3)</f>
        <v>1.4173512718144006</v>
      </c>
      <c r="J37" s="124">
        <f t="shared" ref="J37:L37" si="12">IF(J36&lt;0,0,J36*0.3)</f>
        <v>1.7593512718144009</v>
      </c>
      <c r="K37" s="124">
        <f t="shared" si="12"/>
        <v>1.7923512718144006</v>
      </c>
      <c r="L37" s="124">
        <f t="shared" si="12"/>
        <v>2.1133512718144005</v>
      </c>
      <c r="M37" s="79"/>
      <c r="N37" s="77">
        <v>4</v>
      </c>
      <c r="O37" s="129">
        <f t="shared" si="6"/>
        <v>0.94118989395200003</v>
      </c>
      <c r="P37" s="129">
        <f t="shared" si="7"/>
        <v>3.7647595758080001</v>
      </c>
      <c r="Q37" s="129">
        <f t="shared" si="8"/>
        <v>9.6471393637120002</v>
      </c>
      <c r="R37" s="63"/>
      <c r="S37" s="77">
        <v>4</v>
      </c>
      <c r="T37" s="129">
        <f t="shared" si="9"/>
        <v>5.7475058666666667</v>
      </c>
      <c r="U37" s="129">
        <f t="shared" si="10"/>
        <v>22.990023466666667</v>
      </c>
      <c r="V37" s="129">
        <f>+V36-T37</f>
        <v>13.495011733333328</v>
      </c>
      <c r="X37" s="77">
        <v>4</v>
      </c>
      <c r="Y37" s="129">
        <f t="shared" si="11"/>
        <v>6.216800000000001</v>
      </c>
      <c r="Z37" s="129">
        <f t="shared" si="3"/>
        <v>24.867200000000004</v>
      </c>
      <c r="AA37" s="129">
        <f t="shared" si="4"/>
        <v>8.2168000000000028</v>
      </c>
    </row>
    <row r="38" spans="2:27" ht="13" x14ac:dyDescent="0.3">
      <c r="B38" s="63" t="s">
        <v>61</v>
      </c>
      <c r="C38" s="63"/>
      <c r="D38" s="63"/>
      <c r="E38" s="63"/>
      <c r="F38" s="63"/>
      <c r="G38" s="137"/>
      <c r="H38" s="137">
        <f>+H36-H37</f>
        <v>2.4741529675669316</v>
      </c>
      <c r="I38" s="137">
        <f t="shared" ref="I38:L38" si="13">+I36-I37</f>
        <v>3.3071529675669353</v>
      </c>
      <c r="J38" s="137">
        <f t="shared" si="13"/>
        <v>4.1051529675669354</v>
      </c>
      <c r="K38" s="137">
        <f t="shared" si="13"/>
        <v>4.1821529675669353</v>
      </c>
      <c r="L38" s="137">
        <f t="shared" si="13"/>
        <v>4.9311529675669359</v>
      </c>
      <c r="M38" s="63"/>
      <c r="N38" s="138">
        <v>5</v>
      </c>
      <c r="O38" s="139">
        <f t="shared" si="6"/>
        <v>0.94118989395200003</v>
      </c>
      <c r="P38" s="139">
        <f t="shared" si="7"/>
        <v>4.7059494697600002</v>
      </c>
      <c r="Q38" s="139">
        <f t="shared" si="8"/>
        <v>8.7059494697600002</v>
      </c>
      <c r="R38" s="140"/>
      <c r="S38" s="138">
        <v>5</v>
      </c>
      <c r="T38" s="139">
        <f t="shared" si="9"/>
        <v>5.7475058666666667</v>
      </c>
      <c r="U38" s="139">
        <f t="shared" si="10"/>
        <v>28.737529333333335</v>
      </c>
      <c r="V38" s="139">
        <f t="shared" ref="V38:V39" si="14">+V37-T38</f>
        <v>7.7475058666666614</v>
      </c>
      <c r="W38" s="141"/>
      <c r="X38" s="138">
        <v>5</v>
      </c>
      <c r="Y38" s="139">
        <f t="shared" si="11"/>
        <v>6.216800000000001</v>
      </c>
      <c r="Z38" s="139">
        <f t="shared" si="3"/>
        <v>31.084000000000003</v>
      </c>
      <c r="AA38" s="139">
        <f t="shared" si="4"/>
        <v>2.0000000000000018</v>
      </c>
    </row>
    <row r="39" spans="2:27" x14ac:dyDescent="0.25">
      <c r="B39" s="63" t="s">
        <v>179</v>
      </c>
      <c r="C39" s="63"/>
      <c r="D39" s="63"/>
      <c r="E39" s="63"/>
      <c r="F39" s="63"/>
      <c r="G39" s="142">
        <f>+G29</f>
        <v>-82.980934139520002</v>
      </c>
      <c r="H39" s="142">
        <f>+H38+H32</f>
        <v>15.379648728185598</v>
      </c>
      <c r="I39" s="142">
        <f t="shared" ref="I39" si="15">+I38+I32</f>
        <v>16.212648728185602</v>
      </c>
      <c r="J39" s="142">
        <f>+J38+J32</f>
        <v>17.0106487281856</v>
      </c>
      <c r="K39" s="142">
        <f>+K38+K32</f>
        <v>17.087648728185602</v>
      </c>
      <c r="L39" s="142">
        <f>+L38+L32+L29</f>
        <v>36.290104064612265</v>
      </c>
      <c r="M39" s="109"/>
      <c r="N39" s="77">
        <v>6</v>
      </c>
      <c r="O39" s="129">
        <f t="shared" si="6"/>
        <v>0.94118989395200003</v>
      </c>
      <c r="P39" s="129">
        <f t="shared" si="7"/>
        <v>5.6471393637120002</v>
      </c>
      <c r="Q39" s="129">
        <f t="shared" si="8"/>
        <v>7.7647595758080001</v>
      </c>
      <c r="R39" s="63"/>
      <c r="S39" s="77">
        <v>6</v>
      </c>
      <c r="T39" s="129">
        <f t="shared" si="9"/>
        <v>5.7475058666666667</v>
      </c>
      <c r="U39" s="129">
        <f t="shared" si="10"/>
        <v>34.485035199999999</v>
      </c>
      <c r="V39" s="129">
        <f t="shared" si="14"/>
        <v>1.9999999999999947</v>
      </c>
    </row>
    <row r="40" spans="2:27" x14ac:dyDescent="0.25">
      <c r="C40" s="63"/>
      <c r="D40" s="63"/>
      <c r="E40" s="63"/>
      <c r="F40" s="63"/>
      <c r="G40" s="79"/>
      <c r="H40" s="79"/>
      <c r="I40" s="79"/>
      <c r="J40" s="79"/>
      <c r="K40" s="79"/>
      <c r="L40" s="79"/>
      <c r="M40" s="109"/>
      <c r="N40" s="77">
        <v>7</v>
      </c>
      <c r="O40" s="129">
        <f t="shared" si="6"/>
        <v>0.94118989395200003</v>
      </c>
      <c r="P40" s="129">
        <f t="shared" si="7"/>
        <v>6.5883292576640002</v>
      </c>
      <c r="Q40" s="129">
        <f t="shared" si="8"/>
        <v>6.8235696818560001</v>
      </c>
    </row>
    <row r="41" spans="2:27" x14ac:dyDescent="0.25">
      <c r="B41" s="63" t="s">
        <v>180</v>
      </c>
      <c r="C41" s="143">
        <f>NPV(C6,H39:L39)</f>
        <v>73.76188422290771</v>
      </c>
      <c r="D41" s="63"/>
      <c r="E41" s="63"/>
      <c r="F41" s="63"/>
      <c r="G41" s="63">
        <f>SUM(H41:L41)</f>
        <v>73.761884222907696</v>
      </c>
      <c r="H41" s="79">
        <f>+H39/(1+$C$6)^H24</f>
        <v>13.945999934879941</v>
      </c>
      <c r="I41" s="79">
        <f>+I39/(1+$C$6)^I24</f>
        <v>13.33093031648132</v>
      </c>
      <c r="J41" s="79">
        <f t="shared" ref="J41:K41" si="16">+J39/(1+$C$6)^J24</f>
        <v>12.683251495477192</v>
      </c>
      <c r="K41" s="79">
        <f t="shared" si="16"/>
        <v>11.553013421803923</v>
      </c>
      <c r="L41" s="79">
        <f>+L39/(1+$C$6)^L24</f>
        <v>22.248689054265327</v>
      </c>
      <c r="M41" s="79"/>
      <c r="N41" s="77">
        <v>8</v>
      </c>
      <c r="O41" s="129">
        <f t="shared" si="6"/>
        <v>0.94118989395200003</v>
      </c>
      <c r="P41" s="129">
        <f t="shared" si="7"/>
        <v>7.5295191516160003</v>
      </c>
      <c r="Q41" s="129">
        <f t="shared" si="8"/>
        <v>5.8823797879040001</v>
      </c>
    </row>
    <row r="42" spans="2:27" x14ac:dyDescent="0.25">
      <c r="B42" s="63" t="s">
        <v>181</v>
      </c>
      <c r="C42" s="109">
        <f>+C41+G39</f>
        <v>-9.2190499166122919</v>
      </c>
      <c r="D42" s="63"/>
      <c r="E42" s="79"/>
      <c r="F42" s="79"/>
      <c r="H42" s="144"/>
      <c r="I42" s="144"/>
      <c r="J42" s="144"/>
      <c r="K42" s="144"/>
      <c r="L42" s="144"/>
      <c r="M42" s="79"/>
      <c r="N42" s="77">
        <v>9</v>
      </c>
      <c r="O42" s="129">
        <f t="shared" si="6"/>
        <v>0.94118989395200003</v>
      </c>
      <c r="P42" s="129">
        <f t="shared" si="7"/>
        <v>8.4707090455680003</v>
      </c>
      <c r="Q42" s="129">
        <f t="shared" si="8"/>
        <v>4.941189893952</v>
      </c>
    </row>
    <row r="43" spans="2:27" x14ac:dyDescent="0.25">
      <c r="B43" s="63" t="s">
        <v>182</v>
      </c>
      <c r="C43" s="64">
        <f>+C42/-G39</f>
        <v>-0.1110984108845032</v>
      </c>
      <c r="M43" s="109"/>
      <c r="N43" s="77">
        <v>10</v>
      </c>
      <c r="O43" s="129">
        <f t="shared" si="6"/>
        <v>0.94118989395200003</v>
      </c>
      <c r="P43" s="129">
        <f t="shared" si="7"/>
        <v>9.4118989395200003</v>
      </c>
      <c r="Q43" s="129">
        <f t="shared" si="8"/>
        <v>4</v>
      </c>
    </row>
    <row r="44" spans="2:27" x14ac:dyDescent="0.25">
      <c r="C44" s="109"/>
      <c r="F44" s="79"/>
      <c r="G44" s="79"/>
      <c r="H44" s="145" t="s">
        <v>63</v>
      </c>
      <c r="I44" s="145" t="s">
        <v>182</v>
      </c>
      <c r="M44" s="109"/>
    </row>
    <row r="45" spans="2:27" x14ac:dyDescent="0.25">
      <c r="B45" s="146" t="s">
        <v>183</v>
      </c>
      <c r="H45" s="147">
        <v>73.760000000000005</v>
      </c>
      <c r="I45" s="148">
        <v>-0.111</v>
      </c>
    </row>
    <row r="46" spans="2:27" x14ac:dyDescent="0.25">
      <c r="B46" s="146" t="s">
        <v>184</v>
      </c>
      <c r="H46" s="147">
        <v>148.1</v>
      </c>
      <c r="I46" s="148">
        <v>0.78500000000000003</v>
      </c>
      <c r="O46" s="60">
        <v>82.98</v>
      </c>
    </row>
    <row r="47" spans="2:27" x14ac:dyDescent="0.25">
      <c r="H47" s="79"/>
    </row>
    <row r="48" spans="2:27" ht="14.5" x14ac:dyDescent="0.35">
      <c r="F48" s="149"/>
      <c r="M48" s="104">
        <f>+H45</f>
        <v>73.760000000000005</v>
      </c>
      <c r="S48" s="104">
        <f>+H46</f>
        <v>148.1</v>
      </c>
    </row>
    <row r="49" spans="2:12" x14ac:dyDescent="0.25">
      <c r="B49" s="146" t="s">
        <v>185</v>
      </c>
      <c r="F49" s="79"/>
      <c r="G49" s="150" t="s">
        <v>186</v>
      </c>
      <c r="H49" s="79"/>
    </row>
    <row r="51" spans="2:12" x14ac:dyDescent="0.25">
      <c r="C51" s="79"/>
      <c r="D51" s="79"/>
      <c r="E51" s="79"/>
      <c r="F51" s="79"/>
      <c r="G51" s="79"/>
      <c r="H51" s="79"/>
      <c r="I51" s="79"/>
      <c r="J51" s="79"/>
      <c r="K51" s="79"/>
      <c r="L51" s="79"/>
    </row>
  </sheetData>
  <pageMargins left="0.75" right="0.75" top="1" bottom="1" header="0" footer="0"/>
  <pageSetup paperSize="9" orientation="landscape" horizontalDpi="4294967293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532F3-35C4-4AAE-B710-FB56B495E103}">
  <dimension ref="A2:AD65"/>
  <sheetViews>
    <sheetView tabSelected="1" topLeftCell="A48" zoomScaleNormal="100" workbookViewId="0">
      <selection activeCell="P25" sqref="P25"/>
    </sheetView>
  </sheetViews>
  <sheetFormatPr baseColWidth="10" defaultRowHeight="12.5" x14ac:dyDescent="0.25"/>
  <cols>
    <col min="1" max="1" width="10.26953125" style="60" customWidth="1"/>
    <col min="2" max="2" width="8.7265625" style="60" customWidth="1"/>
    <col min="3" max="3" width="4.7265625" style="60" customWidth="1"/>
    <col min="4" max="5" width="5.7265625" style="60" customWidth="1"/>
    <col min="6" max="7" width="6.7265625" style="60" customWidth="1"/>
    <col min="8" max="8" width="5.7265625" style="60" customWidth="1"/>
    <col min="9" max="9" width="6.7265625" style="60" customWidth="1"/>
    <col min="10" max="10" width="6.26953125" style="60" customWidth="1"/>
    <col min="11" max="11" width="6.7265625" style="60" customWidth="1"/>
    <col min="12" max="12" width="1" style="60" customWidth="1"/>
    <col min="13" max="13" width="1.26953125" style="60" customWidth="1"/>
    <col min="14" max="14" width="9" style="60" customWidth="1"/>
    <col min="15" max="15" width="11" style="60" customWidth="1"/>
    <col min="16" max="16" width="8.7265625" style="60" customWidth="1"/>
    <col min="17" max="17" width="9.26953125" style="60" customWidth="1"/>
    <col min="18" max="18" width="8.26953125" style="60" customWidth="1"/>
    <col min="19" max="19" width="6.26953125" style="60" customWidth="1"/>
    <col min="20" max="20" width="8.26953125" style="60" customWidth="1"/>
    <col min="21" max="21" width="7.7265625" style="60" customWidth="1"/>
    <col min="22" max="22" width="6.7265625" style="60" customWidth="1"/>
    <col min="23" max="23" width="7.26953125" style="60" customWidth="1"/>
    <col min="24" max="24" width="6.7265625" style="60" customWidth="1"/>
    <col min="25" max="25" width="6" style="60" customWidth="1"/>
    <col min="26" max="27" width="6.453125" style="60" customWidth="1"/>
    <col min="28" max="28" width="5.26953125" style="60" customWidth="1"/>
    <col min="29" max="29" width="6.26953125" style="60" customWidth="1"/>
    <col min="30" max="30" width="6.7265625" style="60" customWidth="1"/>
    <col min="31" max="31" width="10.90625" style="60"/>
    <col min="32" max="32" width="19.7265625" style="60" customWidth="1"/>
    <col min="33" max="16384" width="10.90625" style="60"/>
  </cols>
  <sheetData>
    <row r="2" spans="1:30" ht="13" thickBot="1" x14ac:dyDescent="0.3">
      <c r="A2" s="60" t="s">
        <v>134</v>
      </c>
      <c r="N2" s="63"/>
      <c r="O2" s="63"/>
      <c r="Q2" s="63"/>
      <c r="R2" s="63"/>
      <c r="S2" s="101"/>
    </row>
    <row r="3" spans="1:30" ht="13" thickBot="1" x14ac:dyDescent="0.3">
      <c r="A3" s="62" t="s">
        <v>137</v>
      </c>
      <c r="B3" s="70">
        <v>7.0000000000000007E-2</v>
      </c>
      <c r="D3" s="63"/>
      <c r="N3" s="151" t="s">
        <v>135</v>
      </c>
      <c r="O3" s="74"/>
      <c r="P3" s="152" t="s">
        <v>136</v>
      </c>
      <c r="R3" s="65" t="s">
        <v>135</v>
      </c>
      <c r="S3" s="153"/>
      <c r="T3" s="69" t="s">
        <v>136</v>
      </c>
    </row>
    <row r="4" spans="1:30" x14ac:dyDescent="0.25">
      <c r="A4" s="77" t="s">
        <v>140</v>
      </c>
      <c r="B4" s="78">
        <f>+B3*(1-P8)</f>
        <v>4.9000000000000002E-2</v>
      </c>
      <c r="C4" s="106"/>
      <c r="N4" s="71" t="s">
        <v>138</v>
      </c>
      <c r="O4" s="154"/>
      <c r="P4" s="75">
        <v>2.8000000000000001E-2</v>
      </c>
      <c r="R4" s="71" t="s">
        <v>187</v>
      </c>
      <c r="S4" s="74"/>
      <c r="T4" s="76">
        <v>7.0000000000000007E-2</v>
      </c>
    </row>
    <row r="5" spans="1:30" x14ac:dyDescent="0.25">
      <c r="A5" s="77" t="s">
        <v>144</v>
      </c>
      <c r="B5" s="86">
        <f>+T5</f>
        <v>0</v>
      </c>
      <c r="N5" s="80" t="s">
        <v>142</v>
      </c>
      <c r="P5" s="82">
        <v>7.0000000000000007E-2</v>
      </c>
      <c r="R5" s="80" t="s">
        <v>143</v>
      </c>
      <c r="S5" s="84"/>
      <c r="T5" s="85">
        <v>0</v>
      </c>
    </row>
    <row r="6" spans="1:30" x14ac:dyDescent="0.25">
      <c r="A6" s="88" t="s">
        <v>54</v>
      </c>
      <c r="B6" s="89">
        <f>+P4+P6*P5+P7</f>
        <v>0.1028</v>
      </c>
      <c r="N6" s="80" t="s">
        <v>146</v>
      </c>
      <c r="P6" s="87">
        <v>0.84</v>
      </c>
      <c r="R6" s="80" t="s">
        <v>147</v>
      </c>
      <c r="S6" s="84"/>
      <c r="T6" s="85">
        <f>1-T5</f>
        <v>1</v>
      </c>
    </row>
    <row r="7" spans="1:30" ht="13" thickBot="1" x14ac:dyDescent="0.3">
      <c r="A7" s="77" t="s">
        <v>149</v>
      </c>
      <c r="B7" s="86">
        <f>+T6</f>
        <v>1</v>
      </c>
      <c r="N7" s="80" t="s">
        <v>148</v>
      </c>
      <c r="P7" s="90">
        <v>1.6E-2</v>
      </c>
      <c r="R7" s="91"/>
      <c r="S7" s="93"/>
      <c r="T7" s="94"/>
    </row>
    <row r="8" spans="1:30" ht="13" thickBot="1" x14ac:dyDescent="0.3">
      <c r="A8" s="77" t="s">
        <v>151</v>
      </c>
      <c r="B8" s="155">
        <f>+B6*B7+B5*B4</f>
        <v>0.1028</v>
      </c>
      <c r="N8" s="91" t="s">
        <v>188</v>
      </c>
      <c r="O8" s="92"/>
      <c r="P8" s="156">
        <v>0.3</v>
      </c>
    </row>
    <row r="9" spans="1:30" x14ac:dyDescent="0.25">
      <c r="A9" s="63"/>
      <c r="B9" s="157"/>
      <c r="N9" s="63"/>
      <c r="P9" s="158"/>
    </row>
    <row r="11" spans="1:30" x14ac:dyDescent="0.25">
      <c r="B11" s="63"/>
      <c r="C11" s="63"/>
      <c r="D11" s="63"/>
      <c r="E11" s="63"/>
      <c r="F11" s="63"/>
      <c r="G11" s="77">
        <v>1</v>
      </c>
      <c r="H11" s="77">
        <v>2</v>
      </c>
      <c r="I11" s="77">
        <v>3</v>
      </c>
      <c r="J11" s="159">
        <v>4</v>
      </c>
      <c r="K11" s="77">
        <v>5</v>
      </c>
      <c r="N11" s="63" t="s">
        <v>189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</row>
    <row r="12" spans="1:30" x14ac:dyDescent="0.25">
      <c r="C12" s="63"/>
      <c r="D12" s="63" t="s">
        <v>153</v>
      </c>
      <c r="F12" s="63"/>
      <c r="G12" s="103">
        <v>43.92</v>
      </c>
      <c r="H12" s="103">
        <v>46.44</v>
      </c>
      <c r="I12" s="103">
        <v>48.95</v>
      </c>
      <c r="J12" s="103">
        <v>51.47</v>
      </c>
      <c r="K12" s="103">
        <v>53.99</v>
      </c>
      <c r="L12" s="104"/>
      <c r="N12" s="63" t="s">
        <v>160</v>
      </c>
      <c r="O12" s="63"/>
      <c r="P12" s="105">
        <f>+B3</f>
        <v>7.0000000000000007E-2</v>
      </c>
      <c r="Q12" s="63"/>
      <c r="R12" s="63"/>
      <c r="S12" s="63"/>
      <c r="T12" s="63" t="s">
        <v>161</v>
      </c>
      <c r="U12" s="63"/>
      <c r="V12" s="105">
        <f>+B3</f>
        <v>7.0000000000000007E-2</v>
      </c>
      <c r="W12" s="63"/>
      <c r="X12" s="63"/>
      <c r="Z12" s="63" t="s">
        <v>162</v>
      </c>
      <c r="AA12" s="63"/>
      <c r="AB12" s="106">
        <f>+B3</f>
        <v>7.0000000000000007E-2</v>
      </c>
      <c r="AC12" s="63"/>
      <c r="AD12" s="63"/>
    </row>
    <row r="13" spans="1:30" x14ac:dyDescent="0.25">
      <c r="C13" s="63"/>
      <c r="D13" s="63" t="s">
        <v>154</v>
      </c>
      <c r="F13" s="63"/>
      <c r="G13" s="103">
        <v>51.27</v>
      </c>
      <c r="H13" s="103">
        <v>56.42</v>
      </c>
      <c r="I13" s="103">
        <v>61.98</v>
      </c>
      <c r="J13" s="103">
        <v>67.97</v>
      </c>
      <c r="K13" s="103">
        <v>74.42</v>
      </c>
      <c r="L13" s="104"/>
      <c r="N13" s="77" t="s">
        <v>72</v>
      </c>
      <c r="O13" s="77" t="s">
        <v>190</v>
      </c>
      <c r="P13" s="77" t="s">
        <v>191</v>
      </c>
      <c r="Q13" s="77" t="s">
        <v>192</v>
      </c>
      <c r="R13" s="77" t="s">
        <v>193</v>
      </c>
      <c r="S13" s="63"/>
      <c r="T13" s="77" t="s">
        <v>72</v>
      </c>
      <c r="U13" s="77" t="s">
        <v>190</v>
      </c>
      <c r="V13" s="77" t="s">
        <v>191</v>
      </c>
      <c r="W13" s="77" t="s">
        <v>192</v>
      </c>
      <c r="X13" s="77" t="s">
        <v>193</v>
      </c>
      <c r="Y13" s="63"/>
      <c r="Z13" s="77" t="s">
        <v>72</v>
      </c>
      <c r="AA13" s="77" t="s">
        <v>190</v>
      </c>
      <c r="AB13" s="77" t="s">
        <v>191</v>
      </c>
      <c r="AC13" s="77" t="s">
        <v>192</v>
      </c>
      <c r="AD13" s="77" t="s">
        <v>193</v>
      </c>
    </row>
    <row r="14" spans="1:30" x14ac:dyDescent="0.25">
      <c r="C14" s="63"/>
      <c r="D14" s="63" t="s">
        <v>155</v>
      </c>
      <c r="F14" s="63"/>
      <c r="G14" s="77">
        <v>36.44</v>
      </c>
      <c r="H14" s="77">
        <v>37.630000000000003</v>
      </c>
      <c r="I14" s="77">
        <v>38.770000000000003</v>
      </c>
      <c r="J14" s="77">
        <v>39.880000000000003</v>
      </c>
      <c r="K14" s="77">
        <v>40.950000000000003</v>
      </c>
      <c r="L14" s="104"/>
      <c r="N14" s="77">
        <v>0</v>
      </c>
      <c r="O14" s="103">
        <f>+F31</f>
        <v>9.8003440000000008</v>
      </c>
      <c r="P14" s="103">
        <v>0</v>
      </c>
      <c r="Q14" s="77">
        <v>0</v>
      </c>
      <c r="R14" s="77">
        <v>0</v>
      </c>
      <c r="S14" s="63"/>
      <c r="T14" s="77">
        <v>0</v>
      </c>
      <c r="U14" s="160">
        <f>+F32</f>
        <v>27.477600000000002</v>
      </c>
      <c r="V14" s="77">
        <v>0</v>
      </c>
      <c r="W14" s="77">
        <v>0</v>
      </c>
      <c r="X14" s="77">
        <v>0</v>
      </c>
      <c r="Z14" s="77">
        <v>0</v>
      </c>
      <c r="AA14" s="103">
        <f>+F33</f>
        <v>25.68</v>
      </c>
      <c r="AB14" s="77">
        <v>0</v>
      </c>
      <c r="AC14" s="77">
        <v>0</v>
      </c>
      <c r="AD14" s="77">
        <v>0</v>
      </c>
    </row>
    <row r="15" spans="1:30" x14ac:dyDescent="0.25">
      <c r="C15" s="63"/>
      <c r="D15" s="63" t="s">
        <v>157</v>
      </c>
      <c r="F15" s="63"/>
      <c r="G15" s="77">
        <v>54.08</v>
      </c>
      <c r="H15" s="77">
        <v>60.36</v>
      </c>
      <c r="I15" s="77">
        <v>67.36</v>
      </c>
      <c r="J15" s="77">
        <v>75.180000000000007</v>
      </c>
      <c r="K15" s="77">
        <v>83.9</v>
      </c>
      <c r="N15" s="77">
        <v>1</v>
      </c>
      <c r="O15" s="103">
        <f>+O14-Q15</f>
        <v>8.0961553760756466</v>
      </c>
      <c r="P15" s="103">
        <f>+O14*$P$12</f>
        <v>0.68602408000000015</v>
      </c>
      <c r="Q15" s="161">
        <f>+R15-P15</f>
        <v>1.7041886239243538</v>
      </c>
      <c r="R15" s="86">
        <f>-PMT(P12,5,O14)</f>
        <v>2.3902127039243539</v>
      </c>
      <c r="S15" s="63"/>
      <c r="T15" s="77">
        <v>1</v>
      </c>
      <c r="U15" s="103">
        <f>+U14-W15</f>
        <v>21.982080000000003</v>
      </c>
      <c r="V15" s="77">
        <f>+U14*$V$12</f>
        <v>1.9234320000000003</v>
      </c>
      <c r="W15" s="103">
        <f>+U14/5</f>
        <v>5.4955200000000008</v>
      </c>
      <c r="X15" s="103">
        <f>+W15+V15</f>
        <v>7.4189520000000009</v>
      </c>
      <c r="Z15" s="77">
        <v>1</v>
      </c>
      <c r="AA15" s="103">
        <f>+AA14*(1+AB12)</f>
        <v>27.477600000000002</v>
      </c>
      <c r="AB15" s="77">
        <v>0</v>
      </c>
      <c r="AC15" s="103">
        <v>0</v>
      </c>
      <c r="AD15" s="103">
        <v>0</v>
      </c>
    </row>
    <row r="16" spans="1:30" x14ac:dyDescent="0.25"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N16" s="77">
        <v>2</v>
      </c>
      <c r="O16" s="103">
        <f t="shared" ref="O16:O19" si="0">+O15-Q16</f>
        <v>6.2726735484765879</v>
      </c>
      <c r="P16" s="103">
        <f t="shared" ref="P16:P19" si="1">+O15*$P$12</f>
        <v>0.56673087632529529</v>
      </c>
      <c r="Q16" s="161">
        <f t="shared" ref="Q16:Q19" si="2">+R16-P16</f>
        <v>1.8234818275990587</v>
      </c>
      <c r="R16" s="86">
        <f>+R15</f>
        <v>2.3902127039243539</v>
      </c>
      <c r="S16" s="63"/>
      <c r="T16" s="77">
        <v>2</v>
      </c>
      <c r="U16" s="103">
        <f>+U15-W16</f>
        <v>16.486560000000004</v>
      </c>
      <c r="V16" s="77">
        <f t="shared" ref="V16:V19" si="3">+U15*$V$12</f>
        <v>1.5387456000000004</v>
      </c>
      <c r="W16" s="103">
        <f>+W15</f>
        <v>5.4955200000000008</v>
      </c>
      <c r="X16" s="103">
        <f t="shared" ref="X16:X19" si="4">+W16+V16</f>
        <v>7.0342656000000012</v>
      </c>
      <c r="Z16" s="77">
        <v>2</v>
      </c>
      <c r="AA16" s="103">
        <f>+AA15*(1+AB12)</f>
        <v>29.401032000000004</v>
      </c>
      <c r="AB16" s="77">
        <v>0</v>
      </c>
      <c r="AC16" s="103">
        <v>0</v>
      </c>
      <c r="AD16" s="103">
        <v>0</v>
      </c>
    </row>
    <row r="17" spans="1:30" x14ac:dyDescent="0.25">
      <c r="A17" s="83" t="s">
        <v>194</v>
      </c>
      <c r="N17" s="77">
        <v>3</v>
      </c>
      <c r="O17" s="103">
        <f t="shared" si="0"/>
        <v>4.3215479929455949</v>
      </c>
      <c r="P17" s="103">
        <f t="shared" si="1"/>
        <v>0.43908714839336122</v>
      </c>
      <c r="Q17" s="161">
        <f t="shared" si="2"/>
        <v>1.9511255555309928</v>
      </c>
      <c r="R17" s="86">
        <f t="shared" ref="R17:R19" si="5">+R16</f>
        <v>2.3902127039243539</v>
      </c>
      <c r="S17" s="63"/>
      <c r="T17" s="77">
        <v>3</v>
      </c>
      <c r="U17" s="103">
        <f t="shared" ref="U17:U19" si="6">+U16-W17</f>
        <v>10.991040000000003</v>
      </c>
      <c r="V17" s="77">
        <f t="shared" si="3"/>
        <v>1.1540592000000005</v>
      </c>
      <c r="W17" s="103">
        <f t="shared" ref="W17:W19" si="7">+W16</f>
        <v>5.4955200000000008</v>
      </c>
      <c r="X17" s="103">
        <f t="shared" si="4"/>
        <v>6.6495792000000016</v>
      </c>
      <c r="Z17" s="77">
        <v>3</v>
      </c>
      <c r="AA17" s="103">
        <f>+AA16-AC17</f>
        <v>9.4010320000000043</v>
      </c>
      <c r="AB17" s="77">
        <f>+AA16*$AB$12</f>
        <v>2.0580722400000004</v>
      </c>
      <c r="AC17" s="162">
        <v>20</v>
      </c>
      <c r="AD17" s="103">
        <f>+AB17+AC17</f>
        <v>22.058072240000001</v>
      </c>
    </row>
    <row r="18" spans="1:30" x14ac:dyDescent="0.25">
      <c r="A18" s="63"/>
      <c r="B18" s="63"/>
      <c r="C18" s="77">
        <v>-3</v>
      </c>
      <c r="D18" s="77">
        <v>-2</v>
      </c>
      <c r="E18" s="77">
        <v>-1</v>
      </c>
      <c r="F18" s="112">
        <v>0</v>
      </c>
      <c r="G18" s="112">
        <v>1</v>
      </c>
      <c r="H18" s="112">
        <v>2</v>
      </c>
      <c r="I18" s="112">
        <v>3</v>
      </c>
      <c r="J18" s="112">
        <v>4</v>
      </c>
      <c r="K18" s="112">
        <v>5</v>
      </c>
      <c r="L18" s="79"/>
      <c r="N18" s="77">
        <v>4</v>
      </c>
      <c r="O18" s="103">
        <f t="shared" si="0"/>
        <v>2.2338436485274324</v>
      </c>
      <c r="P18" s="103">
        <f t="shared" si="1"/>
        <v>0.30250835950619165</v>
      </c>
      <c r="Q18" s="161">
        <f t="shared" si="2"/>
        <v>2.0877043444181624</v>
      </c>
      <c r="R18" s="86">
        <f t="shared" si="5"/>
        <v>2.3902127039243539</v>
      </c>
      <c r="S18" s="63"/>
      <c r="T18" s="77">
        <v>4</v>
      </c>
      <c r="U18" s="103">
        <f t="shared" si="6"/>
        <v>5.4955200000000026</v>
      </c>
      <c r="V18" s="77">
        <f t="shared" si="3"/>
        <v>0.7693728000000003</v>
      </c>
      <c r="W18" s="103">
        <f t="shared" si="7"/>
        <v>5.4955200000000008</v>
      </c>
      <c r="X18" s="103">
        <f t="shared" si="4"/>
        <v>6.264892800000001</v>
      </c>
      <c r="Z18" s="77">
        <v>4</v>
      </c>
      <c r="AA18" s="103">
        <f>+AA17-AC18</f>
        <v>4.4010320000000043</v>
      </c>
      <c r="AB18" s="77">
        <f>+AA17*$AB$12</f>
        <v>0.65807224000000031</v>
      </c>
      <c r="AC18" s="162">
        <v>5</v>
      </c>
      <c r="AD18" s="103">
        <f>+AC18+AB18</f>
        <v>5.6580722400000001</v>
      </c>
    </row>
    <row r="19" spans="1:30" x14ac:dyDescent="0.25">
      <c r="A19" s="63" t="s">
        <v>49</v>
      </c>
      <c r="B19" s="63"/>
      <c r="C19" s="77">
        <v>10</v>
      </c>
      <c r="D19" s="77">
        <v>30</v>
      </c>
      <c r="E19" s="77">
        <v>30</v>
      </c>
      <c r="F19" s="77">
        <v>0</v>
      </c>
      <c r="G19" s="77"/>
      <c r="H19" s="62"/>
      <c r="I19" s="62"/>
      <c r="J19" s="62"/>
      <c r="K19" s="62"/>
      <c r="L19" s="63"/>
      <c r="N19" s="112">
        <v>5</v>
      </c>
      <c r="O19" s="163">
        <f t="shared" si="0"/>
        <v>0</v>
      </c>
      <c r="P19" s="163">
        <f t="shared" si="1"/>
        <v>0.15636905539692028</v>
      </c>
      <c r="Q19" s="164">
        <f t="shared" si="2"/>
        <v>2.2338436485274338</v>
      </c>
      <c r="R19" s="165">
        <f t="shared" si="5"/>
        <v>2.3902127039243539</v>
      </c>
      <c r="S19" s="166"/>
      <c r="T19" s="138">
        <v>5</v>
      </c>
      <c r="U19" s="163">
        <f t="shared" si="6"/>
        <v>0</v>
      </c>
      <c r="V19" s="167">
        <f t="shared" si="3"/>
        <v>0.38468640000000021</v>
      </c>
      <c r="W19" s="163">
        <f t="shared" si="7"/>
        <v>5.4955200000000008</v>
      </c>
      <c r="X19" s="163">
        <f t="shared" si="4"/>
        <v>5.8802064000000014</v>
      </c>
      <c r="Y19" s="168"/>
      <c r="Z19" s="138">
        <v>5</v>
      </c>
      <c r="AA19" s="163">
        <f>+AA18-AC19</f>
        <v>0</v>
      </c>
      <c r="AB19" s="77">
        <f>+AA18*$AB$12</f>
        <v>0.30807224000000033</v>
      </c>
      <c r="AC19" s="169">
        <f>+AA18</f>
        <v>4.4010320000000043</v>
      </c>
      <c r="AD19" s="163">
        <f>+AC19+AB19</f>
        <v>4.7091042400000047</v>
      </c>
    </row>
    <row r="20" spans="1:30" x14ac:dyDescent="0.25">
      <c r="A20" s="63"/>
      <c r="B20" s="63"/>
      <c r="C20" s="113" t="s">
        <v>160</v>
      </c>
      <c r="D20" s="113" t="s">
        <v>161</v>
      </c>
      <c r="E20" s="113" t="s">
        <v>162</v>
      </c>
      <c r="L20" s="63"/>
      <c r="N20" s="63"/>
      <c r="O20" s="63"/>
      <c r="P20" s="63"/>
      <c r="Q20" s="63"/>
      <c r="R20" s="63"/>
      <c r="S20" s="63"/>
      <c r="T20" s="63"/>
      <c r="U20" s="79"/>
      <c r="V20" s="170"/>
      <c r="W20" s="170"/>
      <c r="X20" s="79"/>
      <c r="Z20" s="63"/>
      <c r="AA20" s="79"/>
      <c r="AB20" s="170"/>
      <c r="AC20" s="170"/>
      <c r="AD20" s="79"/>
    </row>
    <row r="21" spans="1:30" x14ac:dyDescent="0.25">
      <c r="A21" s="63"/>
      <c r="B21" s="63"/>
      <c r="L21" s="63"/>
      <c r="S21" s="63"/>
      <c r="T21" s="63"/>
      <c r="U21" s="79"/>
      <c r="V21" s="170"/>
      <c r="W21" s="170"/>
      <c r="X21" s="79"/>
      <c r="Z21" s="63"/>
      <c r="AA21" s="79"/>
      <c r="AB21" s="170"/>
      <c r="AC21" s="170"/>
      <c r="AD21" s="79"/>
    </row>
    <row r="22" spans="1:30" x14ac:dyDescent="0.25">
      <c r="A22" s="83" t="s">
        <v>195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S22" s="63"/>
      <c r="T22" s="63"/>
      <c r="U22" s="79"/>
      <c r="V22" s="170"/>
      <c r="W22" s="170"/>
      <c r="X22" s="79"/>
      <c r="Z22" s="63"/>
      <c r="AA22" s="79"/>
      <c r="AB22" s="170"/>
      <c r="AC22" s="170"/>
      <c r="AD22" s="79"/>
    </row>
    <row r="23" spans="1:30" x14ac:dyDescent="0.25">
      <c r="A23" s="63" t="s">
        <v>163</v>
      </c>
      <c r="B23" s="63"/>
      <c r="C23" s="77"/>
      <c r="D23" s="77"/>
      <c r="E23" s="77"/>
      <c r="F23" s="112">
        <v>0</v>
      </c>
      <c r="G23" s="112">
        <v>1</v>
      </c>
      <c r="H23" s="112">
        <v>2</v>
      </c>
      <c r="I23" s="112">
        <v>3</v>
      </c>
      <c r="J23" s="112">
        <v>4</v>
      </c>
      <c r="K23" s="112">
        <v>5</v>
      </c>
      <c r="L23" s="63"/>
      <c r="S23" s="63"/>
      <c r="T23" s="63"/>
      <c r="U23" s="79"/>
      <c r="V23" s="170"/>
      <c r="W23" s="170"/>
      <c r="X23" s="79"/>
      <c r="Z23" s="63"/>
      <c r="AA23" s="79"/>
      <c r="AB23" s="170"/>
      <c r="AC23" s="170"/>
      <c r="AD23" s="79"/>
    </row>
    <row r="24" spans="1:30" x14ac:dyDescent="0.25">
      <c r="A24" s="63" t="s">
        <v>196</v>
      </c>
      <c r="B24" s="63" t="s">
        <v>165</v>
      </c>
      <c r="C24" s="88">
        <v>2</v>
      </c>
      <c r="D24" s="88"/>
      <c r="E24" s="88"/>
      <c r="F24" s="209">
        <f>+C24*(1+B6)^3</f>
        <v>2.6823797879039999</v>
      </c>
      <c r="G24" s="171"/>
      <c r="H24" s="171"/>
      <c r="I24" s="171"/>
      <c r="J24" s="171"/>
      <c r="K24" s="172"/>
      <c r="L24" s="63"/>
      <c r="S24" s="63"/>
      <c r="T24" s="63"/>
      <c r="U24" s="79"/>
      <c r="V24" s="170"/>
      <c r="W24" s="170"/>
      <c r="X24" s="79"/>
      <c r="Z24" s="63"/>
      <c r="AA24" s="79"/>
      <c r="AB24" s="170"/>
      <c r="AC24" s="170"/>
      <c r="AD24" s="79"/>
    </row>
    <row r="25" spans="1:30" x14ac:dyDescent="0.25">
      <c r="A25" s="63"/>
      <c r="B25" s="63" t="s">
        <v>166</v>
      </c>
      <c r="C25" s="88"/>
      <c r="D25" s="88">
        <v>6</v>
      </c>
      <c r="E25" s="88"/>
      <c r="F25" s="209">
        <f>+D25*(1+B6)^2</f>
        <v>7.2970070400000004</v>
      </c>
      <c r="G25" s="173"/>
      <c r="H25" s="173"/>
      <c r="I25" s="173"/>
      <c r="J25" s="173"/>
      <c r="K25" s="174"/>
      <c r="L25" s="83"/>
      <c r="Z25" s="63"/>
      <c r="AA25" s="63"/>
    </row>
    <row r="26" spans="1:30" x14ac:dyDescent="0.25">
      <c r="A26" s="63"/>
      <c r="B26" s="63" t="s">
        <v>168</v>
      </c>
      <c r="C26" s="88"/>
      <c r="D26" s="88"/>
      <c r="E26" s="88">
        <v>6</v>
      </c>
      <c r="F26" s="209">
        <f>+E26*(1+B6)</f>
        <v>6.6167999999999996</v>
      </c>
      <c r="G26" s="175"/>
      <c r="H26" s="175"/>
      <c r="I26" s="175"/>
      <c r="J26" s="175"/>
      <c r="K26" s="176"/>
      <c r="Z26" s="63"/>
      <c r="AA26" s="63"/>
    </row>
    <row r="27" spans="1:30" x14ac:dyDescent="0.25">
      <c r="A27" s="63"/>
      <c r="B27" s="63"/>
      <c r="C27" s="63"/>
      <c r="D27" s="63"/>
      <c r="E27" s="63"/>
      <c r="F27" s="177"/>
      <c r="L27" s="119"/>
      <c r="AA27" s="63"/>
    </row>
    <row r="28" spans="1:30" x14ac:dyDescent="0.25">
      <c r="A28" s="63" t="s">
        <v>49</v>
      </c>
      <c r="B28" s="63" t="s">
        <v>49</v>
      </c>
      <c r="C28" s="63"/>
      <c r="D28" s="63"/>
      <c r="E28" s="63"/>
      <c r="F28" s="147">
        <f>+F24+F25+F26+F31+F32+F33</f>
        <v>79.554130827904004</v>
      </c>
      <c r="G28" s="145"/>
      <c r="H28" s="145"/>
      <c r="I28" s="145"/>
      <c r="J28" s="145"/>
      <c r="K28" s="178">
        <f>+Q41+V41+AA41</f>
        <v>17.703796400618671</v>
      </c>
      <c r="L28" s="119"/>
      <c r="AA28" s="63"/>
    </row>
    <row r="29" spans="1:30" x14ac:dyDescent="0.25">
      <c r="F29" s="146"/>
      <c r="L29" s="119"/>
      <c r="N29" s="63" t="s">
        <v>164</v>
      </c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</row>
    <row r="30" spans="1:30" x14ac:dyDescent="0.25">
      <c r="A30" s="146" t="s">
        <v>197</v>
      </c>
      <c r="F30" s="179">
        <f>+F31+F32+F33</f>
        <v>62.957944000000005</v>
      </c>
      <c r="G30" s="180">
        <f>+G31+G32+G33</f>
        <v>7.1997086239243551</v>
      </c>
      <c r="H30" s="181">
        <f t="shared" ref="H30:K30" si="8">+H31+H32+H33</f>
        <v>7.3190018275990596</v>
      </c>
      <c r="I30" s="181">
        <f t="shared" si="8"/>
        <v>27.446645555530992</v>
      </c>
      <c r="J30" s="181">
        <f t="shared" si="8"/>
        <v>12.583224344418163</v>
      </c>
      <c r="K30" s="181">
        <f t="shared" si="8"/>
        <v>12.13039564852744</v>
      </c>
      <c r="L30" s="109"/>
      <c r="N30" s="63" t="s">
        <v>160</v>
      </c>
      <c r="R30" s="63"/>
      <c r="S30" s="63" t="s">
        <v>161</v>
      </c>
      <c r="U30" s="63"/>
      <c r="V30" s="63"/>
      <c r="W30" s="63"/>
      <c r="X30" s="63" t="s">
        <v>198</v>
      </c>
      <c r="Y30" s="63"/>
      <c r="Z30" s="63"/>
      <c r="AA30" s="63"/>
    </row>
    <row r="31" spans="1:30" x14ac:dyDescent="0.25">
      <c r="B31" s="63" t="s">
        <v>165</v>
      </c>
      <c r="C31" s="182">
        <v>8</v>
      </c>
      <c r="D31" s="182"/>
      <c r="E31" s="183"/>
      <c r="F31" s="210">
        <f>+C31*(1+B3)^3</f>
        <v>9.8003440000000008</v>
      </c>
      <c r="G31" s="184">
        <f>+Q15</f>
        <v>1.7041886239243538</v>
      </c>
      <c r="H31" s="184">
        <f>+Q16</f>
        <v>1.8234818275990587</v>
      </c>
      <c r="I31" s="184">
        <f>+Q17</f>
        <v>1.9511255555309928</v>
      </c>
      <c r="J31" s="184">
        <f>+Q18</f>
        <v>2.0877043444181624</v>
      </c>
      <c r="K31" s="185">
        <f>+Q19+O19</f>
        <v>2.2338436485274338</v>
      </c>
      <c r="N31" s="63" t="s">
        <v>167</v>
      </c>
      <c r="O31" s="79">
        <f>+F24+F31</f>
        <v>12.482723787904</v>
      </c>
      <c r="R31" s="63"/>
      <c r="S31" s="63" t="s">
        <v>167</v>
      </c>
      <c r="T31" s="79">
        <f>+F25+F32</f>
        <v>34.774607040000006</v>
      </c>
      <c r="U31" s="63"/>
      <c r="V31" s="63"/>
      <c r="W31" s="63"/>
      <c r="X31" s="63" t="s">
        <v>167</v>
      </c>
      <c r="Y31" s="79">
        <f>+F26+F33</f>
        <v>32.296799999999998</v>
      </c>
      <c r="Z31" s="63"/>
      <c r="AA31" s="63"/>
    </row>
    <row r="32" spans="1:30" x14ac:dyDescent="0.25">
      <c r="B32" s="63" t="s">
        <v>166</v>
      </c>
      <c r="C32" s="182"/>
      <c r="D32" s="182">
        <v>24</v>
      </c>
      <c r="E32" s="183"/>
      <c r="F32" s="210">
        <f>+D32*(1+B3)^2</f>
        <v>27.477600000000002</v>
      </c>
      <c r="G32" s="186">
        <f>+W15</f>
        <v>5.4955200000000008</v>
      </c>
      <c r="H32" s="186">
        <f>+W16</f>
        <v>5.4955200000000008</v>
      </c>
      <c r="I32" s="186">
        <f>+W17</f>
        <v>5.4955200000000008</v>
      </c>
      <c r="J32" s="186">
        <f>+W18</f>
        <v>5.4955200000000008</v>
      </c>
      <c r="K32" s="187">
        <f>+W19</f>
        <v>5.4955200000000008</v>
      </c>
      <c r="N32" s="63" t="s">
        <v>169</v>
      </c>
      <c r="O32" s="63">
        <v>4</v>
      </c>
      <c r="P32" s="63"/>
      <c r="Q32" s="63"/>
      <c r="R32" s="63"/>
      <c r="S32" s="63" t="s">
        <v>169</v>
      </c>
      <c r="T32" s="63">
        <v>2</v>
      </c>
      <c r="U32" s="63"/>
      <c r="V32" s="63"/>
      <c r="W32" s="63"/>
      <c r="X32" s="63" t="s">
        <v>169</v>
      </c>
      <c r="Y32" s="63">
        <v>2</v>
      </c>
      <c r="Z32" s="63"/>
      <c r="AA32" s="63"/>
    </row>
    <row r="33" spans="1:27" x14ac:dyDescent="0.25">
      <c r="B33" s="63" t="s">
        <v>168</v>
      </c>
      <c r="C33" s="182"/>
      <c r="D33" s="182"/>
      <c r="E33" s="183">
        <v>24</v>
      </c>
      <c r="F33" s="210">
        <f>+E33*(1+B3)</f>
        <v>25.68</v>
      </c>
      <c r="G33" s="188">
        <f>+AC15</f>
        <v>0</v>
      </c>
      <c r="H33" s="188">
        <f>+AC16</f>
        <v>0</v>
      </c>
      <c r="I33" s="188">
        <f>+AC17</f>
        <v>20</v>
      </c>
      <c r="J33" s="188">
        <f>+AC18</f>
        <v>5</v>
      </c>
      <c r="K33" s="189">
        <f>+AC19</f>
        <v>4.4010320000000043</v>
      </c>
      <c r="N33" s="63" t="s">
        <v>72</v>
      </c>
      <c r="O33" s="63">
        <v>10</v>
      </c>
      <c r="P33" s="63"/>
      <c r="Q33" s="63"/>
      <c r="R33" s="63"/>
      <c r="S33" s="63" t="s">
        <v>72</v>
      </c>
      <c r="T33" s="63">
        <v>6</v>
      </c>
      <c r="U33" s="63"/>
      <c r="V33" s="63"/>
      <c r="W33" s="63"/>
      <c r="X33" s="63" t="s">
        <v>72</v>
      </c>
      <c r="Y33" s="63">
        <v>5</v>
      </c>
      <c r="Z33" s="63"/>
      <c r="AA33" s="63"/>
    </row>
    <row r="34" spans="1:27" x14ac:dyDescent="0.25">
      <c r="N34" s="63" t="s">
        <v>170</v>
      </c>
      <c r="O34" s="63"/>
      <c r="P34" s="63"/>
      <c r="Q34" s="63"/>
      <c r="R34" s="63"/>
      <c r="S34" s="63" t="s">
        <v>170</v>
      </c>
      <c r="T34" s="63"/>
      <c r="U34" s="63"/>
      <c r="V34" s="63"/>
      <c r="W34" s="63"/>
      <c r="X34" s="63" t="s">
        <v>170</v>
      </c>
      <c r="Y34" s="63"/>
      <c r="Z34" s="63"/>
      <c r="AA34" s="63"/>
    </row>
    <row r="35" spans="1:27" x14ac:dyDescent="0.25">
      <c r="A35" s="60" t="s">
        <v>55</v>
      </c>
      <c r="F35" s="190">
        <v>0</v>
      </c>
      <c r="G35" s="190">
        <f>+G14</f>
        <v>36.44</v>
      </c>
      <c r="H35" s="190">
        <f t="shared" ref="H35:K35" si="9">+H14</f>
        <v>37.630000000000003</v>
      </c>
      <c r="I35" s="190">
        <f t="shared" si="9"/>
        <v>38.770000000000003</v>
      </c>
      <c r="J35" s="190">
        <f t="shared" si="9"/>
        <v>39.880000000000003</v>
      </c>
      <c r="K35" s="190">
        <f t="shared" si="9"/>
        <v>40.950000000000003</v>
      </c>
      <c r="N35" s="63" t="s">
        <v>72</v>
      </c>
      <c r="O35" s="63" t="s">
        <v>171</v>
      </c>
      <c r="P35" s="63" t="s">
        <v>172</v>
      </c>
      <c r="Q35" s="63" t="s">
        <v>173</v>
      </c>
      <c r="R35" s="63"/>
      <c r="S35" s="63" t="s">
        <v>72</v>
      </c>
      <c r="T35" s="63" t="s">
        <v>171</v>
      </c>
      <c r="U35" s="63" t="s">
        <v>172</v>
      </c>
      <c r="V35" s="63" t="s">
        <v>173</v>
      </c>
      <c r="W35" s="63"/>
      <c r="X35" s="63" t="s">
        <v>72</v>
      </c>
      <c r="Y35" s="63" t="s">
        <v>171</v>
      </c>
      <c r="Z35" s="63" t="s">
        <v>172</v>
      </c>
      <c r="AA35" s="63" t="s">
        <v>173</v>
      </c>
    </row>
    <row r="36" spans="1:27" x14ac:dyDescent="0.25">
      <c r="A36" s="60" t="s">
        <v>199</v>
      </c>
      <c r="F36" s="190">
        <v>0</v>
      </c>
      <c r="G36" s="190">
        <v>20</v>
      </c>
      <c r="H36" s="190">
        <v>20</v>
      </c>
      <c r="I36" s="190">
        <v>20</v>
      </c>
      <c r="J36" s="190">
        <v>21</v>
      </c>
      <c r="K36" s="190">
        <v>21</v>
      </c>
      <c r="N36" s="77">
        <v>0</v>
      </c>
      <c r="O36" s="129">
        <v>0</v>
      </c>
      <c r="P36" s="129">
        <v>0</v>
      </c>
      <c r="Q36" s="129">
        <f>+O31</f>
        <v>12.482723787904</v>
      </c>
      <c r="R36" s="63"/>
      <c r="S36" s="77">
        <v>0</v>
      </c>
      <c r="T36" s="129">
        <v>0</v>
      </c>
      <c r="U36" s="129">
        <v>0</v>
      </c>
      <c r="V36" s="129">
        <f>+T31</f>
        <v>34.774607040000006</v>
      </c>
      <c r="W36" s="63"/>
      <c r="X36" s="77">
        <v>0</v>
      </c>
      <c r="Y36" s="129">
        <v>0</v>
      </c>
      <c r="Z36" s="129">
        <v>0</v>
      </c>
      <c r="AA36" s="129">
        <f>+Y31</f>
        <v>32.296799999999998</v>
      </c>
    </row>
    <row r="37" spans="1:27" x14ac:dyDescent="0.25">
      <c r="A37" s="60" t="s">
        <v>58</v>
      </c>
      <c r="F37" s="190">
        <v>0</v>
      </c>
      <c r="G37" s="190">
        <f>+G38+G39+G40</f>
        <v>12.370066885457067</v>
      </c>
      <c r="H37" s="190">
        <f t="shared" ref="H37:K37" si="10">+H38+H39+H40</f>
        <v>12.370066885457067</v>
      </c>
      <c r="I37" s="190">
        <f t="shared" si="10"/>
        <v>12.370066885457067</v>
      </c>
      <c r="J37" s="190">
        <f t="shared" si="10"/>
        <v>12.370066885457067</v>
      </c>
      <c r="K37" s="190">
        <f t="shared" si="10"/>
        <v>12.370066885457067</v>
      </c>
      <c r="N37" s="77">
        <v>1</v>
      </c>
      <c r="O37" s="129">
        <f>+(O31-O32)/O33</f>
        <v>0.84827237879039996</v>
      </c>
      <c r="P37" s="129">
        <f>+O37+P36</f>
        <v>0.84827237879039996</v>
      </c>
      <c r="Q37" s="129">
        <f>+Q36-O37</f>
        <v>11.6344514091136</v>
      </c>
      <c r="R37" s="63"/>
      <c r="S37" s="77">
        <v>1</v>
      </c>
      <c r="T37" s="129">
        <f>+(T31-T32)/T33</f>
        <v>5.4624345066666677</v>
      </c>
      <c r="U37" s="129">
        <f>+U36+T37</f>
        <v>5.4624345066666677</v>
      </c>
      <c r="V37" s="129">
        <f>+V36-T37</f>
        <v>29.312172533333339</v>
      </c>
      <c r="W37" s="63"/>
      <c r="X37" s="77">
        <v>1</v>
      </c>
      <c r="Y37" s="129">
        <f>+(Y31-Y32)/Y33</f>
        <v>6.0593599999999999</v>
      </c>
      <c r="Z37" s="129">
        <f>+Y37+Z36</f>
        <v>6.0593599999999999</v>
      </c>
      <c r="AA37" s="129">
        <f>+AA36-Y37</f>
        <v>26.237439999999999</v>
      </c>
    </row>
    <row r="38" spans="1:27" x14ac:dyDescent="0.25">
      <c r="B38" s="63" t="s">
        <v>165</v>
      </c>
      <c r="F38" s="191"/>
      <c r="G38" s="192">
        <f>+O37</f>
        <v>0.84827237879039996</v>
      </c>
      <c r="H38" s="192">
        <f>+G38</f>
        <v>0.84827237879039996</v>
      </c>
      <c r="I38" s="192">
        <f>+H38</f>
        <v>0.84827237879039996</v>
      </c>
      <c r="J38" s="192">
        <f>+I38</f>
        <v>0.84827237879039996</v>
      </c>
      <c r="K38" s="193">
        <f>+J38</f>
        <v>0.84827237879039996</v>
      </c>
      <c r="L38" s="79"/>
      <c r="N38" s="77">
        <v>2</v>
      </c>
      <c r="O38" s="129">
        <f>+O37</f>
        <v>0.84827237879039996</v>
      </c>
      <c r="P38" s="129">
        <f>+O38+P37</f>
        <v>1.6965447575807999</v>
      </c>
      <c r="Q38" s="129">
        <f>+Q37-O38</f>
        <v>10.786179030323201</v>
      </c>
      <c r="R38" s="63"/>
      <c r="S38" s="77">
        <v>2</v>
      </c>
      <c r="T38" s="129">
        <f>+T37</f>
        <v>5.4624345066666677</v>
      </c>
      <c r="U38" s="129">
        <f>+U37+T38</f>
        <v>10.924869013333335</v>
      </c>
      <c r="V38" s="129">
        <f>+V37-T38</f>
        <v>23.849738026666671</v>
      </c>
      <c r="X38" s="77">
        <v>2</v>
      </c>
      <c r="Y38" s="129">
        <f>+Y37</f>
        <v>6.0593599999999999</v>
      </c>
      <c r="Z38" s="129">
        <f t="shared" ref="Z38:Z41" si="11">+Y38+Z37</f>
        <v>12.11872</v>
      </c>
      <c r="AA38" s="129">
        <f t="shared" ref="AA38:AA41" si="12">+AA37-Y38</f>
        <v>20.178080000000001</v>
      </c>
    </row>
    <row r="39" spans="1:27" x14ac:dyDescent="0.25">
      <c r="B39" s="63" t="s">
        <v>166</v>
      </c>
      <c r="F39" s="194"/>
      <c r="G39" s="195">
        <f>+T37</f>
        <v>5.4624345066666677</v>
      </c>
      <c r="H39" s="195">
        <f>+T38</f>
        <v>5.4624345066666677</v>
      </c>
      <c r="I39" s="195">
        <f>+T39</f>
        <v>5.4624345066666677</v>
      </c>
      <c r="J39" s="195">
        <f>+T40</f>
        <v>5.4624345066666677</v>
      </c>
      <c r="K39" s="196">
        <f>+T41</f>
        <v>5.4624345066666677</v>
      </c>
      <c r="L39" s="63"/>
      <c r="N39" s="77">
        <v>3</v>
      </c>
      <c r="O39" s="129">
        <f t="shared" ref="O39:O46" si="13">+O38</f>
        <v>0.84827237879039996</v>
      </c>
      <c r="P39" s="129">
        <f t="shared" ref="P39:P46" si="14">+O39+P38</f>
        <v>2.5448171363711998</v>
      </c>
      <c r="Q39" s="129">
        <f t="shared" ref="Q39:Q46" si="15">+Q38-O39</f>
        <v>9.937906651532801</v>
      </c>
      <c r="R39" s="63"/>
      <c r="S39" s="77">
        <v>3</v>
      </c>
      <c r="T39" s="129">
        <f t="shared" ref="T39:T42" si="16">+T38</f>
        <v>5.4624345066666677</v>
      </c>
      <c r="U39" s="129">
        <f t="shared" ref="U39:U42" si="17">+U38+T39</f>
        <v>16.387303520000003</v>
      </c>
      <c r="V39" s="129">
        <f>+V38-T39</f>
        <v>18.387303520000003</v>
      </c>
      <c r="X39" s="77">
        <v>3</v>
      </c>
      <c r="Y39" s="129">
        <f t="shared" ref="Y39:Y41" si="18">+Y38</f>
        <v>6.0593599999999999</v>
      </c>
      <c r="Z39" s="129">
        <f t="shared" si="11"/>
        <v>18.178080000000001</v>
      </c>
      <c r="AA39" s="129">
        <f t="shared" si="12"/>
        <v>14.118720000000001</v>
      </c>
    </row>
    <row r="40" spans="1:27" x14ac:dyDescent="0.25">
      <c r="B40" s="63" t="s">
        <v>168</v>
      </c>
      <c r="F40" s="197"/>
      <c r="G40" s="198">
        <f>+Y37</f>
        <v>6.0593599999999999</v>
      </c>
      <c r="H40" s="198">
        <f>+Y38</f>
        <v>6.0593599999999999</v>
      </c>
      <c r="I40" s="198">
        <f>+Y39</f>
        <v>6.0593599999999999</v>
      </c>
      <c r="J40" s="198">
        <f>+Y40</f>
        <v>6.0593599999999999</v>
      </c>
      <c r="K40" s="199">
        <f>+Y41</f>
        <v>6.0593599999999999</v>
      </c>
      <c r="L40" s="109"/>
      <c r="N40" s="77">
        <v>4</v>
      </c>
      <c r="O40" s="129">
        <f t="shared" si="13"/>
        <v>0.84827237879039996</v>
      </c>
      <c r="P40" s="129">
        <f t="shared" si="14"/>
        <v>3.3930895151615998</v>
      </c>
      <c r="Q40" s="129">
        <f t="shared" si="15"/>
        <v>9.0896342727424013</v>
      </c>
      <c r="R40" s="63"/>
      <c r="S40" s="77">
        <v>4</v>
      </c>
      <c r="T40" s="129">
        <f t="shared" si="16"/>
        <v>5.4624345066666677</v>
      </c>
      <c r="U40" s="129">
        <f t="shared" si="17"/>
        <v>21.849738026666671</v>
      </c>
      <c r="V40" s="129">
        <f>+V39-T40</f>
        <v>12.924869013333335</v>
      </c>
      <c r="X40" s="77">
        <v>4</v>
      </c>
      <c r="Y40" s="129">
        <f t="shared" si="18"/>
        <v>6.0593599999999999</v>
      </c>
      <c r="Z40" s="129">
        <f t="shared" si="11"/>
        <v>24.237439999999999</v>
      </c>
      <c r="AA40" s="129">
        <f t="shared" si="12"/>
        <v>8.0593600000000016</v>
      </c>
    </row>
    <row r="41" spans="1:27" ht="13" x14ac:dyDescent="0.3">
      <c r="A41" s="63" t="s">
        <v>177</v>
      </c>
      <c r="B41" s="63"/>
      <c r="C41" s="63"/>
      <c r="D41" s="63"/>
      <c r="E41" s="63"/>
      <c r="F41" s="200">
        <v>0</v>
      </c>
      <c r="G41" s="190">
        <f>+G35-G36-G37</f>
        <v>4.0699331145429305</v>
      </c>
      <c r="H41" s="190">
        <f>+H35-H36-H37</f>
        <v>5.2599331145429353</v>
      </c>
      <c r="I41" s="190">
        <f>+I35-I36-I37</f>
        <v>6.3999331145429359</v>
      </c>
      <c r="J41" s="190">
        <f t="shared" ref="J41" si="19">+J35-J36-J37</f>
        <v>6.5099331145429353</v>
      </c>
      <c r="K41" s="190">
        <f>+K35-K36-K37</f>
        <v>7.5799331145429356</v>
      </c>
      <c r="L41" s="109"/>
      <c r="N41" s="138">
        <v>5</v>
      </c>
      <c r="O41" s="139">
        <f t="shared" si="13"/>
        <v>0.84827237879039996</v>
      </c>
      <c r="P41" s="139">
        <f t="shared" si="14"/>
        <v>4.2413618939519999</v>
      </c>
      <c r="Q41" s="139">
        <f t="shared" si="15"/>
        <v>8.2413618939520017</v>
      </c>
      <c r="R41" s="140"/>
      <c r="S41" s="138">
        <v>5</v>
      </c>
      <c r="T41" s="139">
        <f t="shared" si="16"/>
        <v>5.4624345066666677</v>
      </c>
      <c r="U41" s="139">
        <f t="shared" si="17"/>
        <v>27.312172533333339</v>
      </c>
      <c r="V41" s="139">
        <f t="shared" ref="V41:V42" si="20">+V40-T41</f>
        <v>7.4624345066666677</v>
      </c>
      <c r="W41" s="141"/>
      <c r="X41" s="138">
        <v>5</v>
      </c>
      <c r="Y41" s="139">
        <f t="shared" si="18"/>
        <v>6.0593599999999999</v>
      </c>
      <c r="Z41" s="139">
        <f t="shared" si="11"/>
        <v>30.296799999999998</v>
      </c>
      <c r="AA41" s="139">
        <f t="shared" si="12"/>
        <v>2.0000000000000018</v>
      </c>
    </row>
    <row r="42" spans="1:27" x14ac:dyDescent="0.25">
      <c r="A42" s="60" t="s">
        <v>200</v>
      </c>
      <c r="F42" s="201">
        <v>0</v>
      </c>
      <c r="G42" s="202">
        <f>+G43+G44+G45</f>
        <v>2.6094560800000002</v>
      </c>
      <c r="H42" s="202">
        <f>+H43+H44+H45</f>
        <v>2.1054764763252956</v>
      </c>
      <c r="I42" s="202">
        <f>+I43+I44+I45</f>
        <v>3.6512185883933621</v>
      </c>
      <c r="J42" s="202">
        <f>+J43+J44+J45</f>
        <v>1.7299533995061922</v>
      </c>
      <c r="K42" s="202">
        <f>+K43+K44+K45</f>
        <v>0.84912769539692079</v>
      </c>
      <c r="L42" s="79"/>
      <c r="N42" s="77">
        <v>6</v>
      </c>
      <c r="O42" s="129">
        <f t="shared" si="13"/>
        <v>0.84827237879039996</v>
      </c>
      <c r="P42" s="129">
        <f t="shared" si="14"/>
        <v>5.0896342727423995</v>
      </c>
      <c r="Q42" s="129">
        <f t="shared" si="15"/>
        <v>7.3930895151616021</v>
      </c>
      <c r="R42" s="63"/>
      <c r="S42" s="77">
        <v>6</v>
      </c>
      <c r="T42" s="129">
        <f t="shared" si="16"/>
        <v>5.4624345066666677</v>
      </c>
      <c r="U42" s="129">
        <f t="shared" si="17"/>
        <v>32.774607040000006</v>
      </c>
      <c r="V42" s="129">
        <f t="shared" si="20"/>
        <v>2</v>
      </c>
    </row>
    <row r="43" spans="1:27" x14ac:dyDescent="0.25">
      <c r="B43" s="63" t="s">
        <v>165</v>
      </c>
      <c r="F43" s="191"/>
      <c r="G43" s="192">
        <f>+P15</f>
        <v>0.68602408000000015</v>
      </c>
      <c r="H43" s="192">
        <f>+P16</f>
        <v>0.56673087632529529</v>
      </c>
      <c r="I43" s="192">
        <f>+P17</f>
        <v>0.43908714839336122</v>
      </c>
      <c r="J43" s="192">
        <f>+P18</f>
        <v>0.30250835950619165</v>
      </c>
      <c r="K43" s="193">
        <f>+P19</f>
        <v>0.15636905539692028</v>
      </c>
      <c r="L43" s="79"/>
      <c r="N43" s="77">
        <v>7</v>
      </c>
      <c r="O43" s="129">
        <f t="shared" si="13"/>
        <v>0.84827237879039996</v>
      </c>
      <c r="P43" s="129">
        <f t="shared" si="14"/>
        <v>5.9379066515327992</v>
      </c>
      <c r="Q43" s="129">
        <f t="shared" si="15"/>
        <v>6.5448171363712024</v>
      </c>
    </row>
    <row r="44" spans="1:27" x14ac:dyDescent="0.25">
      <c r="B44" s="63" t="s">
        <v>166</v>
      </c>
      <c r="F44" s="194"/>
      <c r="G44" s="195">
        <f>+V15</f>
        <v>1.9234320000000003</v>
      </c>
      <c r="H44" s="195">
        <f>+V16</f>
        <v>1.5387456000000004</v>
      </c>
      <c r="I44" s="195">
        <f>+V17</f>
        <v>1.1540592000000005</v>
      </c>
      <c r="J44" s="195">
        <f>+V18</f>
        <v>0.7693728000000003</v>
      </c>
      <c r="K44" s="196">
        <f>+V19</f>
        <v>0.38468640000000021</v>
      </c>
      <c r="L44" s="109"/>
      <c r="N44" s="77">
        <v>8</v>
      </c>
      <c r="O44" s="129">
        <f t="shared" si="13"/>
        <v>0.84827237879039996</v>
      </c>
      <c r="P44" s="129">
        <f t="shared" si="14"/>
        <v>6.7861790303231988</v>
      </c>
      <c r="Q44" s="129">
        <f t="shared" si="15"/>
        <v>5.6965447575808028</v>
      </c>
    </row>
    <row r="45" spans="1:27" x14ac:dyDescent="0.25">
      <c r="B45" s="63" t="s">
        <v>168</v>
      </c>
      <c r="F45" s="197"/>
      <c r="G45" s="198">
        <v>0</v>
      </c>
      <c r="H45" s="198">
        <v>0</v>
      </c>
      <c r="I45" s="198">
        <f>+AB17</f>
        <v>2.0580722400000004</v>
      </c>
      <c r="J45" s="198">
        <f>+AB18</f>
        <v>0.65807224000000031</v>
      </c>
      <c r="K45" s="199">
        <f>+AB19</f>
        <v>0.30807224000000033</v>
      </c>
      <c r="L45" s="109"/>
      <c r="N45" s="77">
        <v>9</v>
      </c>
      <c r="O45" s="129">
        <f t="shared" si="13"/>
        <v>0.84827237879039996</v>
      </c>
      <c r="P45" s="129">
        <f t="shared" si="14"/>
        <v>7.6344514091135984</v>
      </c>
      <c r="Q45" s="129">
        <f t="shared" si="15"/>
        <v>4.8482723787904032</v>
      </c>
    </row>
    <row r="46" spans="1:27" x14ac:dyDescent="0.25">
      <c r="F46" s="203"/>
      <c r="G46" s="203"/>
      <c r="H46" s="203"/>
      <c r="I46" s="203"/>
      <c r="J46" s="203"/>
      <c r="K46" s="203"/>
      <c r="N46" s="77">
        <v>10</v>
      </c>
      <c r="O46" s="129">
        <f t="shared" si="13"/>
        <v>0.84827237879039996</v>
      </c>
      <c r="P46" s="129">
        <f t="shared" si="14"/>
        <v>8.4827237879039981</v>
      </c>
      <c r="Q46" s="129">
        <f t="shared" si="15"/>
        <v>4.0000000000000036</v>
      </c>
    </row>
    <row r="47" spans="1:27" x14ac:dyDescent="0.25">
      <c r="A47" s="60" t="s">
        <v>59</v>
      </c>
      <c r="F47" s="201">
        <v>0</v>
      </c>
      <c r="G47" s="202">
        <f>+G41-G43-G44-G45</f>
        <v>1.4604770345429301</v>
      </c>
      <c r="H47" s="202">
        <f>+H41-H43-H44-H45</f>
        <v>3.1544566382176393</v>
      </c>
      <c r="I47" s="202">
        <f>+I41-I43-I44-I45</f>
        <v>2.7487145261495733</v>
      </c>
      <c r="J47" s="202">
        <f>+J41-J43-J44-J45</f>
        <v>4.7799797150367436</v>
      </c>
      <c r="K47" s="202">
        <f>+K41-K43-K44-K45</f>
        <v>6.730805419146014</v>
      </c>
    </row>
    <row r="48" spans="1:27" x14ac:dyDescent="0.25">
      <c r="A48" s="63" t="s">
        <v>178</v>
      </c>
      <c r="B48" s="63"/>
      <c r="C48" s="63"/>
      <c r="D48" s="63"/>
      <c r="E48" s="63"/>
      <c r="F48" s="190">
        <f>IF(F51&lt;0,0,F51*0.3)</f>
        <v>0</v>
      </c>
      <c r="G48" s="190">
        <f>IF(G47&lt;0,0,G47*0.3)</f>
        <v>0.43814311036287901</v>
      </c>
      <c r="H48" s="190">
        <f t="shared" ref="H48:K48" si="21">IF(H47&lt;0,0,H47*0.3)</f>
        <v>0.94633699146529171</v>
      </c>
      <c r="I48" s="190">
        <f t="shared" si="21"/>
        <v>0.82461435784487203</v>
      </c>
      <c r="J48" s="190">
        <f t="shared" si="21"/>
        <v>1.433993914511023</v>
      </c>
      <c r="K48" s="190">
        <f t="shared" si="21"/>
        <v>2.0192416257438039</v>
      </c>
    </row>
    <row r="49" spans="1:23" x14ac:dyDescent="0.25">
      <c r="A49" s="63" t="s">
        <v>61</v>
      </c>
      <c r="B49" s="63"/>
      <c r="C49" s="63"/>
      <c r="D49" s="63"/>
      <c r="E49" s="63"/>
      <c r="F49" s="204">
        <v>0</v>
      </c>
      <c r="G49" s="204">
        <f>+G47-G48</f>
        <v>1.0223339241800511</v>
      </c>
      <c r="H49" s="204">
        <f t="shared" ref="H49:K49" si="22">+H47-H48</f>
        <v>2.2081196467523476</v>
      </c>
      <c r="I49" s="204">
        <f t="shared" si="22"/>
        <v>1.9241001683047014</v>
      </c>
      <c r="J49" s="204">
        <f t="shared" si="22"/>
        <v>3.3459858005257206</v>
      </c>
      <c r="K49" s="204">
        <f t="shared" si="22"/>
        <v>4.7115637934022097</v>
      </c>
    </row>
    <row r="50" spans="1:23" x14ac:dyDescent="0.25">
      <c r="A50" s="63" t="s">
        <v>179</v>
      </c>
      <c r="B50" s="63"/>
      <c r="C50" s="63"/>
      <c r="D50" s="63"/>
      <c r="E50" s="63"/>
      <c r="F50" s="103">
        <f>-F28+F30</f>
        <v>-16.596186827903999</v>
      </c>
      <c r="G50" s="103">
        <f>+G49+G37+G28-G30</f>
        <v>6.1926921857127635</v>
      </c>
      <c r="H50" s="103">
        <f>+H49+H37+H28-H30</f>
        <v>7.2591847046103553</v>
      </c>
      <c r="I50" s="103">
        <f>+I49+I37+I28-I30</f>
        <v>-13.152478501769224</v>
      </c>
      <c r="J50" s="103">
        <f>+J49+J37+J28-J30</f>
        <v>3.1328283415646254</v>
      </c>
      <c r="K50" s="103">
        <f>+K49+K37+K28-K30</f>
        <v>22.655031430950508</v>
      </c>
    </row>
    <row r="51" spans="1:23" x14ac:dyDescent="0.25">
      <c r="B51" s="63"/>
      <c r="C51" s="63"/>
      <c r="D51" s="63"/>
      <c r="E51" s="63"/>
      <c r="F51" s="79"/>
      <c r="G51" s="79"/>
      <c r="H51" s="79"/>
      <c r="I51" s="79"/>
      <c r="J51" s="79"/>
      <c r="K51" s="79"/>
      <c r="Q51" s="60">
        <v>16.600000000000001</v>
      </c>
    </row>
    <row r="52" spans="1:23" x14ac:dyDescent="0.25">
      <c r="A52" s="63" t="s">
        <v>180</v>
      </c>
      <c r="B52" s="109">
        <f>NPV(B6,G50:K50)</f>
        <v>17.785184239848896</v>
      </c>
      <c r="C52" s="63"/>
      <c r="D52" s="205" t="s">
        <v>201</v>
      </c>
      <c r="E52" s="63"/>
      <c r="H52" s="79"/>
      <c r="I52" s="79"/>
      <c r="J52" s="79"/>
      <c r="K52" s="79"/>
    </row>
    <row r="53" spans="1:23" x14ac:dyDescent="0.25">
      <c r="A53" s="63" t="s">
        <v>202</v>
      </c>
      <c r="B53" s="109">
        <f>+B52+F50</f>
        <v>1.1889974119448965</v>
      </c>
      <c r="C53" s="63"/>
      <c r="D53" s="79"/>
      <c r="E53" s="79"/>
      <c r="G53" s="144"/>
      <c r="H53" s="144"/>
      <c r="I53" s="144"/>
      <c r="J53" s="144"/>
      <c r="K53" s="144"/>
    </row>
    <row r="54" spans="1:23" x14ac:dyDescent="0.25">
      <c r="A54" s="63" t="s">
        <v>182</v>
      </c>
      <c r="B54" s="206">
        <f>+B53/-F50</f>
        <v>7.1642807126380117E-2</v>
      </c>
    </row>
    <row r="55" spans="1:23" x14ac:dyDescent="0.25">
      <c r="B55" s="109"/>
      <c r="E55" s="79"/>
      <c r="F55" s="79"/>
      <c r="R55" s="60">
        <v>17.79</v>
      </c>
      <c r="W55" s="60">
        <v>92.13</v>
      </c>
    </row>
    <row r="56" spans="1:23" x14ac:dyDescent="0.25">
      <c r="A56" s="60" t="s">
        <v>183</v>
      </c>
      <c r="I56" s="60" t="s">
        <v>203</v>
      </c>
      <c r="N56" s="60">
        <v>17.79</v>
      </c>
      <c r="O56" s="207">
        <v>7.0000000000000007E-2</v>
      </c>
    </row>
    <row r="57" spans="1:23" x14ac:dyDescent="0.25">
      <c r="A57" s="60" t="s">
        <v>204</v>
      </c>
      <c r="I57" s="60" t="s">
        <v>205</v>
      </c>
      <c r="N57" s="60">
        <v>92.13</v>
      </c>
      <c r="O57" s="207">
        <v>4.55</v>
      </c>
    </row>
    <row r="61" spans="1:23" x14ac:dyDescent="0.25">
      <c r="A61" s="60" t="s">
        <v>177</v>
      </c>
      <c r="B61" s="60" t="s">
        <v>206</v>
      </c>
    </row>
    <row r="62" spans="1:23" x14ac:dyDescent="0.25">
      <c r="A62" s="60" t="s">
        <v>207</v>
      </c>
      <c r="B62" s="60" t="s">
        <v>208</v>
      </c>
    </row>
    <row r="63" spans="1:23" x14ac:dyDescent="0.25">
      <c r="A63" s="60" t="s">
        <v>61</v>
      </c>
      <c r="B63" s="60" t="s">
        <v>209</v>
      </c>
    </row>
    <row r="65" spans="6:6" ht="14.5" x14ac:dyDescent="0.35">
      <c r="F65" s="208"/>
    </row>
  </sheetData>
  <pageMargins left="0.75" right="0.75" top="1" bottom="1" header="0" footer="0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Localizacion</vt:lpstr>
      <vt:lpstr>Tamaño</vt:lpstr>
      <vt:lpstr>Depreciacion optima</vt:lpstr>
      <vt:lpstr>Enunciado flujo</vt:lpstr>
      <vt:lpstr>Economico</vt:lpstr>
      <vt:lpstr>Financiero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Salvador Jacome</dc:creator>
  <cp:lastModifiedBy>Julio Salvador Jacome</cp:lastModifiedBy>
  <dcterms:created xsi:type="dcterms:W3CDTF">2025-11-06T14:51:25Z</dcterms:created>
  <dcterms:modified xsi:type="dcterms:W3CDTF">2025-11-06T15:36:13Z</dcterms:modified>
</cp:coreProperties>
</file>