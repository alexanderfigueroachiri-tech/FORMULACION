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sonal\UNI\Ingenieria economica\Sesiones\Sesion 7 . Evaluacion de proyectos\"/>
    </mc:Choice>
  </mc:AlternateContent>
  <bookViews>
    <workbookView xWindow="120" yWindow="290" windowWidth="12120" windowHeight="7890" activeTab="5"/>
  </bookViews>
  <sheets>
    <sheet name="Selecc_cond" sheetId="3" r:id="rId1"/>
    <sheet name="Nuevo o usado" sheetId="9" r:id="rId2"/>
    <sheet name="Eolico" sheetId="10" r:id="rId3"/>
    <sheet name="Vidas_dife" sheetId="11" r:id="rId4"/>
    <sheet name="Tele_rural" sheetId="12" r:id="rId5"/>
    <sheet name="Secuencia" sheetId="13" r:id="rId6"/>
  </sheets>
  <calcPr calcId="162913"/>
</workbook>
</file>

<file path=xl/calcChain.xml><?xml version="1.0" encoding="utf-8"?>
<calcChain xmlns="http://schemas.openxmlformats.org/spreadsheetml/2006/main">
  <c r="C18" i="13" l="1"/>
  <c r="D14" i="13"/>
  <c r="E14" i="13" s="1"/>
  <c r="D13" i="13"/>
  <c r="E13" i="13" s="1"/>
  <c r="D12" i="13"/>
  <c r="E12" i="13" s="1"/>
  <c r="B31" i="12"/>
  <c r="C18" i="12"/>
  <c r="D18" i="12" s="1"/>
  <c r="E18" i="12" s="1"/>
  <c r="F18" i="12" s="1"/>
  <c r="G18" i="12" s="1"/>
  <c r="H18" i="12" s="1"/>
  <c r="I18" i="12" s="1"/>
  <c r="J18" i="12" s="1"/>
  <c r="K18" i="12" s="1"/>
  <c r="L18" i="12" s="1"/>
  <c r="P16" i="12"/>
  <c r="Q16" i="12" s="1"/>
  <c r="R16" i="12" s="1"/>
  <c r="S16" i="12" s="1"/>
  <c r="T16" i="12" s="1"/>
  <c r="U16" i="12" s="1"/>
  <c r="V16" i="12" s="1"/>
  <c r="W16" i="12" s="1"/>
  <c r="X16" i="12" s="1"/>
  <c r="Y16" i="12" s="1"/>
  <c r="C16" i="12"/>
  <c r="D16" i="12" s="1"/>
  <c r="E16" i="12" s="1"/>
  <c r="F16" i="12" s="1"/>
  <c r="G16" i="12" s="1"/>
  <c r="H16" i="12" s="1"/>
  <c r="I16" i="12" s="1"/>
  <c r="J16" i="12" s="1"/>
  <c r="K16" i="12" s="1"/>
  <c r="L16" i="12" s="1"/>
  <c r="P14" i="12"/>
  <c r="Q14" i="12" s="1"/>
  <c r="R14" i="12" s="1"/>
  <c r="S14" i="12" s="1"/>
  <c r="T14" i="12" s="1"/>
  <c r="U14" i="12" s="1"/>
  <c r="V14" i="12" s="1"/>
  <c r="W14" i="12" s="1"/>
  <c r="X14" i="12" s="1"/>
  <c r="K14" i="12"/>
  <c r="J14" i="12"/>
  <c r="I14" i="12"/>
  <c r="H14" i="12"/>
  <c r="G14" i="12"/>
  <c r="F14" i="12"/>
  <c r="E14" i="12"/>
  <c r="D14" i="12"/>
  <c r="C14" i="12"/>
  <c r="O13" i="12"/>
  <c r="P18" i="12" s="1"/>
  <c r="Q18" i="12" s="1"/>
  <c r="R18" i="12" s="1"/>
  <c r="S18" i="12" s="1"/>
  <c r="T18" i="12" s="1"/>
  <c r="U18" i="12" s="1"/>
  <c r="V18" i="12" s="1"/>
  <c r="W18" i="12" s="1"/>
  <c r="X18" i="12" s="1"/>
  <c r="Y18" i="12" s="1"/>
  <c r="B13" i="12"/>
  <c r="T7" i="12"/>
  <c r="V7" i="12" s="1"/>
  <c r="W7" i="12" s="1"/>
  <c r="I7" i="12"/>
  <c r="J7" i="12" s="1"/>
  <c r="T6" i="12"/>
  <c r="V6" i="12" s="1"/>
  <c r="W6" i="12" s="1"/>
  <c r="I6" i="12"/>
  <c r="J6" i="12" s="1"/>
  <c r="T5" i="12"/>
  <c r="V5" i="12" s="1"/>
  <c r="W5" i="12" s="1"/>
  <c r="I5" i="12"/>
  <c r="J5" i="12" s="1"/>
  <c r="T4" i="12"/>
  <c r="V4" i="12" s="1"/>
  <c r="W4" i="12" s="1"/>
  <c r="I4" i="12"/>
  <c r="J4" i="12" s="1"/>
  <c r="T3" i="12"/>
  <c r="V3" i="12" s="1"/>
  <c r="W3" i="12" s="1"/>
  <c r="I3" i="12"/>
  <c r="J3" i="12" s="1"/>
  <c r="D120" i="11"/>
  <c r="D103" i="11" s="1"/>
  <c r="F115" i="11"/>
  <c r="G115" i="11" s="1"/>
  <c r="H115" i="11" s="1"/>
  <c r="I115" i="11" s="1"/>
  <c r="E115" i="11"/>
  <c r="D115" i="11"/>
  <c r="D114" i="11"/>
  <c r="D116" i="11" s="1"/>
  <c r="D101" i="11" s="1"/>
  <c r="D102" i="11"/>
  <c r="D104" i="11" s="1"/>
  <c r="C98" i="11"/>
  <c r="C119" i="11" s="1"/>
  <c r="D90" i="11"/>
  <c r="D87" i="11"/>
  <c r="D72" i="11" s="1"/>
  <c r="D73" i="11" s="1"/>
  <c r="D86" i="11"/>
  <c r="E86" i="11" s="1"/>
  <c r="F86" i="11" s="1"/>
  <c r="G86" i="11" s="1"/>
  <c r="H86" i="11" s="1"/>
  <c r="D85" i="11"/>
  <c r="E85" i="11" s="1"/>
  <c r="F85" i="11" s="1"/>
  <c r="F87" i="11" s="1"/>
  <c r="F72" i="11" s="1"/>
  <c r="F73" i="11" s="1"/>
  <c r="C84" i="11"/>
  <c r="C97" i="11" s="1"/>
  <c r="C78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C90" i="11" s="1"/>
  <c r="D91" i="11" s="1"/>
  <c r="C68" i="11"/>
  <c r="E53" i="11"/>
  <c r="F53" i="11" s="1"/>
  <c r="G53" i="11" s="1"/>
  <c r="H53" i="11" s="1"/>
  <c r="I53" i="11" s="1"/>
  <c r="D53" i="11"/>
  <c r="D52" i="11"/>
  <c r="E38" i="11"/>
  <c r="F38" i="11" s="1"/>
  <c r="C35" i="11"/>
  <c r="D31" i="11"/>
  <c r="D16" i="11" s="1"/>
  <c r="D17" i="11" s="1"/>
  <c r="D19" i="11" s="1"/>
  <c r="D30" i="11"/>
  <c r="E30" i="11" s="1"/>
  <c r="F30" i="11" s="1"/>
  <c r="G30" i="11" s="1"/>
  <c r="H30" i="11" s="1"/>
  <c r="E29" i="11"/>
  <c r="D29" i="11"/>
  <c r="C28" i="11"/>
  <c r="E15" i="11"/>
  <c r="F15" i="11" s="1"/>
  <c r="C12" i="11"/>
  <c r="C22" i="11" s="1"/>
  <c r="C33" i="10"/>
  <c r="B14" i="10"/>
  <c r="C18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D15" i="10"/>
  <c r="C15" i="10"/>
  <c r="B13" i="10"/>
  <c r="J3" i="10"/>
  <c r="C7" i="10"/>
  <c r="C63" i="9"/>
  <c r="I60" i="9"/>
  <c r="H60" i="9"/>
  <c r="H58" i="9"/>
  <c r="H57" i="9"/>
  <c r="H56" i="9"/>
  <c r="C60" i="9"/>
  <c r="C16" i="3"/>
  <c r="D16" i="3"/>
  <c r="E16" i="3"/>
  <c r="F16" i="3"/>
  <c r="G16" i="3"/>
  <c r="B16" i="3"/>
  <c r="H12" i="13" l="1"/>
  <c r="F12" i="13"/>
  <c r="N4" i="13" s="1"/>
  <c r="H13" i="13"/>
  <c r="F13" i="13"/>
  <c r="N5" i="13" s="1"/>
  <c r="O5" i="13" s="1"/>
  <c r="P5" i="13" s="1"/>
  <c r="Q5" i="13" s="1"/>
  <c r="R5" i="13" s="1"/>
  <c r="S5" i="13" s="1"/>
  <c r="L18" i="13" s="1"/>
  <c r="M18" i="13" s="1"/>
  <c r="N18" i="13" s="1"/>
  <c r="O18" i="13" s="1"/>
  <c r="P18" i="13" s="1"/>
  <c r="Q18" i="13" s="1"/>
  <c r="H14" i="13"/>
  <c r="F14" i="13"/>
  <c r="N6" i="13" s="1"/>
  <c r="J8" i="12"/>
  <c r="C15" i="12" s="1"/>
  <c r="C17" i="12"/>
  <c r="C19" i="12" s="1"/>
  <c r="D15" i="12"/>
  <c r="W8" i="12"/>
  <c r="P15" i="12" s="1"/>
  <c r="B14" i="12"/>
  <c r="B34" i="12" s="1"/>
  <c r="O14" i="12"/>
  <c r="O24" i="12" s="1"/>
  <c r="G15" i="11"/>
  <c r="I54" i="11"/>
  <c r="I39" i="11" s="1"/>
  <c r="J53" i="11"/>
  <c r="H31" i="11"/>
  <c r="H16" i="11" s="1"/>
  <c r="I30" i="11"/>
  <c r="D20" i="11"/>
  <c r="D21" i="11" s="1"/>
  <c r="D22" i="11" s="1"/>
  <c r="G85" i="11"/>
  <c r="G87" i="11" s="1"/>
  <c r="G72" i="11" s="1"/>
  <c r="G73" i="11" s="1"/>
  <c r="I86" i="11"/>
  <c r="H87" i="11"/>
  <c r="H72" i="11" s="1"/>
  <c r="H73" i="11" s="1"/>
  <c r="I116" i="11"/>
  <c r="I101" i="11" s="1"/>
  <c r="I102" i="11" s="1"/>
  <c r="I104" i="11" s="1"/>
  <c r="J115" i="11"/>
  <c r="D75" i="11"/>
  <c r="C45" i="11"/>
  <c r="C51" i="11"/>
  <c r="E90" i="11"/>
  <c r="E91" i="11"/>
  <c r="D93" i="11"/>
  <c r="D74" i="11"/>
  <c r="C113" i="11"/>
  <c r="C107" i="11"/>
  <c r="D105" i="11"/>
  <c r="D106" i="11" s="1"/>
  <c r="G38" i="11"/>
  <c r="E31" i="11"/>
  <c r="E16" i="11" s="1"/>
  <c r="E17" i="11" s="1"/>
  <c r="E19" i="11" s="1"/>
  <c r="D54" i="11"/>
  <c r="D39" i="11" s="1"/>
  <c r="D40" i="11" s="1"/>
  <c r="D42" i="11" s="1"/>
  <c r="E52" i="11"/>
  <c r="F29" i="11"/>
  <c r="D122" i="11"/>
  <c r="E87" i="11"/>
  <c r="E72" i="11" s="1"/>
  <c r="E73" i="11" s="1"/>
  <c r="E114" i="11"/>
  <c r="B20" i="3"/>
  <c r="B19" i="3"/>
  <c r="B18" i="3"/>
  <c r="B17" i="3"/>
  <c r="B15" i="3"/>
  <c r="O6" i="13" l="1"/>
  <c r="D18" i="13"/>
  <c r="O4" i="13"/>
  <c r="G18" i="13"/>
  <c r="Y14" i="12"/>
  <c r="O34" i="12"/>
  <c r="Q15" i="12"/>
  <c r="P17" i="12"/>
  <c r="P19" i="12" s="1"/>
  <c r="C34" i="12"/>
  <c r="D34" i="12" s="1"/>
  <c r="E34" i="12" s="1"/>
  <c r="F34" i="12" s="1"/>
  <c r="G34" i="12" s="1"/>
  <c r="H34" i="12" s="1"/>
  <c r="I34" i="12" s="1"/>
  <c r="J34" i="12" s="1"/>
  <c r="K34" i="12" s="1"/>
  <c r="L37" i="12"/>
  <c r="L14" i="12" s="1"/>
  <c r="C36" i="12"/>
  <c r="E15" i="12"/>
  <c r="D17" i="12"/>
  <c r="D19" i="12" s="1"/>
  <c r="B24" i="12"/>
  <c r="E20" i="11"/>
  <c r="E21" i="11" s="1"/>
  <c r="E22" i="11" s="1"/>
  <c r="E93" i="11"/>
  <c r="E74" i="11"/>
  <c r="F31" i="11"/>
  <c r="F16" i="11" s="1"/>
  <c r="F17" i="11" s="1"/>
  <c r="F19" i="11" s="1"/>
  <c r="G29" i="11"/>
  <c r="G31" i="11" s="1"/>
  <c r="G16" i="11" s="1"/>
  <c r="G17" i="11" s="1"/>
  <c r="G19" i="11" s="1"/>
  <c r="D76" i="11"/>
  <c r="D77" i="11"/>
  <c r="D78" i="11" s="1"/>
  <c r="E54" i="11"/>
  <c r="E39" i="11" s="1"/>
  <c r="E40" i="11" s="1"/>
  <c r="E42" i="11" s="1"/>
  <c r="F52" i="11"/>
  <c r="D43" i="11"/>
  <c r="D44" i="11" s="1"/>
  <c r="D45" i="11" s="1"/>
  <c r="E75" i="11"/>
  <c r="I106" i="11"/>
  <c r="I107" i="11" s="1"/>
  <c r="I105" i="11"/>
  <c r="H15" i="11"/>
  <c r="E116" i="11"/>
  <c r="E101" i="11" s="1"/>
  <c r="E102" i="11" s="1"/>
  <c r="F114" i="11"/>
  <c r="J116" i="11"/>
  <c r="J101" i="11" s="1"/>
  <c r="J102" i="11" s="1"/>
  <c r="J104" i="11" s="1"/>
  <c r="K115" i="11"/>
  <c r="I31" i="11"/>
  <c r="I16" i="11" s="1"/>
  <c r="J30" i="11"/>
  <c r="D121" i="11"/>
  <c r="E122" i="11"/>
  <c r="F90" i="11"/>
  <c r="F91" i="11"/>
  <c r="K53" i="11"/>
  <c r="J54" i="11"/>
  <c r="J39" i="11" s="1"/>
  <c r="H38" i="11"/>
  <c r="I87" i="11"/>
  <c r="I72" i="11" s="1"/>
  <c r="I73" i="11" s="1"/>
  <c r="J86" i="11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C16" i="10"/>
  <c r="B24" i="10"/>
  <c r="D62" i="10"/>
  <c r="E62" i="10" s="1"/>
  <c r="F62" i="10" s="1"/>
  <c r="G62" i="10" s="1"/>
  <c r="H62" i="10" s="1"/>
  <c r="I62" i="10" s="1"/>
  <c r="J62" i="10" s="1"/>
  <c r="K62" i="10" s="1"/>
  <c r="D60" i="10"/>
  <c r="E60" i="10" s="1"/>
  <c r="F60" i="10" s="1"/>
  <c r="G60" i="10" s="1"/>
  <c r="H60" i="10" s="1"/>
  <c r="I60" i="10" s="1"/>
  <c r="J60" i="10" s="1"/>
  <c r="K60" i="10" s="1"/>
  <c r="L60" i="10" s="1"/>
  <c r="M60" i="10" s="1"/>
  <c r="N60" i="10" s="1"/>
  <c r="O60" i="10" s="1"/>
  <c r="P60" i="10" s="1"/>
  <c r="Q60" i="10" s="1"/>
  <c r="R60" i="10" s="1"/>
  <c r="S60" i="10" s="1"/>
  <c r="T60" i="10" s="1"/>
  <c r="U60" i="10" s="1"/>
  <c r="V60" i="10" s="1"/>
  <c r="C60" i="10"/>
  <c r="C62" i="10" s="1"/>
  <c r="B59" i="10"/>
  <c r="B52" i="10"/>
  <c r="C53" i="10" s="1"/>
  <c r="B44" i="10"/>
  <c r="B35" i="10"/>
  <c r="AA18" i="10"/>
  <c r="AA16" i="10"/>
  <c r="C10" i="10" s="1"/>
  <c r="K14" i="10"/>
  <c r="J14" i="10"/>
  <c r="I14" i="10"/>
  <c r="H14" i="10"/>
  <c r="G14" i="10"/>
  <c r="F14" i="10"/>
  <c r="E14" i="10"/>
  <c r="D14" i="10"/>
  <c r="C14" i="10"/>
  <c r="C3" i="10"/>
  <c r="H18" i="13" l="1"/>
  <c r="P4" i="13"/>
  <c r="E18" i="13"/>
  <c r="P6" i="13"/>
  <c r="F18" i="13" s="1"/>
  <c r="F15" i="12"/>
  <c r="E17" i="12"/>
  <c r="E19" i="12" s="1"/>
  <c r="C20" i="12"/>
  <c r="C21" i="12" s="1"/>
  <c r="D36" i="12"/>
  <c r="Y37" i="12"/>
  <c r="P36" i="12"/>
  <c r="P34" i="12"/>
  <c r="Q34" i="12" s="1"/>
  <c r="R34" i="12" s="1"/>
  <c r="S34" i="12" s="1"/>
  <c r="T34" i="12" s="1"/>
  <c r="U34" i="12" s="1"/>
  <c r="V34" i="12" s="1"/>
  <c r="W34" i="12" s="1"/>
  <c r="X34" i="12" s="1"/>
  <c r="R15" i="12"/>
  <c r="Q17" i="12"/>
  <c r="Q19" i="12" s="1"/>
  <c r="G21" i="11"/>
  <c r="G22" i="11" s="1"/>
  <c r="G20" i="11"/>
  <c r="J87" i="11"/>
  <c r="J72" i="11" s="1"/>
  <c r="J73" i="11" s="1"/>
  <c r="K86" i="11"/>
  <c r="G90" i="11"/>
  <c r="G91" i="11"/>
  <c r="F122" i="11"/>
  <c r="F93" i="11"/>
  <c r="F74" i="11"/>
  <c r="F75" i="11" s="1"/>
  <c r="G114" i="11"/>
  <c r="F116" i="11"/>
  <c r="F101" i="11" s="1"/>
  <c r="F102" i="11" s="1"/>
  <c r="F20" i="11"/>
  <c r="F21" i="11"/>
  <c r="F22" i="11" s="1"/>
  <c r="I38" i="11"/>
  <c r="D98" i="11"/>
  <c r="D107" i="11" s="1"/>
  <c r="D119" i="11"/>
  <c r="G52" i="11"/>
  <c r="F54" i="11"/>
  <c r="F39" i="11" s="1"/>
  <c r="F40" i="11" s="1"/>
  <c r="F42" i="11" s="1"/>
  <c r="I15" i="11"/>
  <c r="H17" i="11"/>
  <c r="H19" i="11" s="1"/>
  <c r="E43" i="11"/>
  <c r="E44" i="11" s="1"/>
  <c r="E45" i="11" s="1"/>
  <c r="E76" i="11"/>
  <c r="E77" i="11" s="1"/>
  <c r="E78" i="11" s="1"/>
  <c r="L53" i="11"/>
  <c r="K54" i="11"/>
  <c r="K39" i="11" s="1"/>
  <c r="K116" i="11"/>
  <c r="K101" i="11" s="1"/>
  <c r="K102" i="11" s="1"/>
  <c r="K104" i="11" s="1"/>
  <c r="L115" i="11"/>
  <c r="J31" i="11"/>
  <c r="J16" i="11" s="1"/>
  <c r="K30" i="11"/>
  <c r="J106" i="11"/>
  <c r="J107" i="11" s="1"/>
  <c r="J105" i="11"/>
  <c r="C17" i="10"/>
  <c r="L62" i="10"/>
  <c r="M62" i="10" s="1"/>
  <c r="N62" i="10" s="1"/>
  <c r="O62" i="10" s="1"/>
  <c r="P62" i="10" s="1"/>
  <c r="Q62" i="10" s="1"/>
  <c r="R62" i="10" s="1"/>
  <c r="S62" i="10" s="1"/>
  <c r="T62" i="10" s="1"/>
  <c r="U62" i="10" s="1"/>
  <c r="V62" i="10" s="1"/>
  <c r="C54" i="10"/>
  <c r="D53" i="10"/>
  <c r="E53" i="10" s="1"/>
  <c r="F53" i="10" s="1"/>
  <c r="G53" i="10" s="1"/>
  <c r="H53" i="10" s="1"/>
  <c r="I53" i="10" s="1"/>
  <c r="J53" i="10" s="1"/>
  <c r="K53" i="10" s="1"/>
  <c r="L53" i="10" s="1"/>
  <c r="M53" i="10" s="1"/>
  <c r="N53" i="10" s="1"/>
  <c r="O53" i="10" s="1"/>
  <c r="L38" i="10"/>
  <c r="L14" i="10" s="1"/>
  <c r="C37" i="10"/>
  <c r="AA20" i="10"/>
  <c r="C55" i="10"/>
  <c r="D55" i="10" s="1"/>
  <c r="E55" i="10" s="1"/>
  <c r="F55" i="10" s="1"/>
  <c r="G55" i="10" s="1"/>
  <c r="H55" i="10" s="1"/>
  <c r="I55" i="10" s="1"/>
  <c r="J55" i="10" s="1"/>
  <c r="K55" i="10" s="1"/>
  <c r="L55" i="10" s="1"/>
  <c r="M55" i="10" s="1"/>
  <c r="N55" i="10" s="1"/>
  <c r="O55" i="10" s="1"/>
  <c r="C61" i="10"/>
  <c r="D61" i="10" s="1"/>
  <c r="E61" i="10" s="1"/>
  <c r="F61" i="10" s="1"/>
  <c r="G61" i="10" s="1"/>
  <c r="H61" i="10" s="1"/>
  <c r="I61" i="10" s="1"/>
  <c r="J61" i="10" s="1"/>
  <c r="K61" i="10" s="1"/>
  <c r="L61" i="10" s="1"/>
  <c r="M61" i="10" s="1"/>
  <c r="N61" i="10" s="1"/>
  <c r="O61" i="10" s="1"/>
  <c r="P61" i="10" s="1"/>
  <c r="Q61" i="10" s="1"/>
  <c r="R61" i="10" s="1"/>
  <c r="S61" i="10" s="1"/>
  <c r="T61" i="10" s="1"/>
  <c r="U61" i="10" s="1"/>
  <c r="V61" i="10" s="1"/>
  <c r="C45" i="10"/>
  <c r="C47" i="10" s="1"/>
  <c r="D9" i="9"/>
  <c r="E9" i="9"/>
  <c r="F9" i="9"/>
  <c r="G9" i="9"/>
  <c r="D10" i="9"/>
  <c r="E10" i="9" s="1"/>
  <c r="C16" i="9"/>
  <c r="E26" i="9"/>
  <c r="F26" i="9" s="1"/>
  <c r="D27" i="9"/>
  <c r="D28" i="9"/>
  <c r="E28" i="9" s="1"/>
  <c r="C34" i="9"/>
  <c r="D47" i="9"/>
  <c r="C56" i="9"/>
  <c r="I18" i="13" l="1"/>
  <c r="Q4" i="13"/>
  <c r="D20" i="12"/>
  <c r="D21" i="12" s="1"/>
  <c r="E36" i="12"/>
  <c r="S15" i="12"/>
  <c r="R17" i="12"/>
  <c r="R19" i="12" s="1"/>
  <c r="C22" i="12"/>
  <c r="C23" i="12" s="1"/>
  <c r="C24" i="12" s="1"/>
  <c r="P20" i="12"/>
  <c r="P21" i="12" s="1"/>
  <c r="Q36" i="12"/>
  <c r="G15" i="12"/>
  <c r="F17" i="12"/>
  <c r="F19" i="12" s="1"/>
  <c r="L116" i="11"/>
  <c r="L101" i="11" s="1"/>
  <c r="L102" i="11" s="1"/>
  <c r="L104" i="11" s="1"/>
  <c r="M115" i="11"/>
  <c r="I17" i="11"/>
  <c r="I19" i="11" s="1"/>
  <c r="J15" i="11"/>
  <c r="L54" i="11"/>
  <c r="L39" i="11" s="1"/>
  <c r="M53" i="11"/>
  <c r="G74" i="11"/>
  <c r="G75" i="11" s="1"/>
  <c r="G93" i="11"/>
  <c r="G54" i="11"/>
  <c r="G39" i="11" s="1"/>
  <c r="G40" i="11" s="1"/>
  <c r="G42" i="11" s="1"/>
  <c r="H52" i="11"/>
  <c r="H54" i="11" s="1"/>
  <c r="H39" i="11" s="1"/>
  <c r="H40" i="11" s="1"/>
  <c r="H42" i="11" s="1"/>
  <c r="H91" i="11"/>
  <c r="H90" i="11"/>
  <c r="K105" i="11"/>
  <c r="K106" i="11"/>
  <c r="K107" i="11" s="1"/>
  <c r="F44" i="11"/>
  <c r="F45" i="11" s="1"/>
  <c r="F43" i="11"/>
  <c r="F76" i="11"/>
  <c r="F77" i="11" s="1"/>
  <c r="F78" i="11" s="1"/>
  <c r="G122" i="11"/>
  <c r="H21" i="11"/>
  <c r="H22" i="11" s="1"/>
  <c r="H20" i="11"/>
  <c r="E120" i="11"/>
  <c r="G116" i="11"/>
  <c r="G101" i="11" s="1"/>
  <c r="G102" i="11" s="1"/>
  <c r="H114" i="11"/>
  <c r="H116" i="11" s="1"/>
  <c r="H101" i="11" s="1"/>
  <c r="H102" i="11" s="1"/>
  <c r="L86" i="11"/>
  <c r="K87" i="11"/>
  <c r="K72" i="11" s="1"/>
  <c r="K73" i="11" s="1"/>
  <c r="L30" i="11"/>
  <c r="K31" i="11"/>
  <c r="K16" i="11" s="1"/>
  <c r="J38" i="11"/>
  <c r="I40" i="11"/>
  <c r="I42" i="11" s="1"/>
  <c r="E27" i="9"/>
  <c r="F27" i="9"/>
  <c r="G26" i="9"/>
  <c r="D11" i="9"/>
  <c r="D13" i="9" s="1"/>
  <c r="D14" i="9" s="1"/>
  <c r="D15" i="9" s="1"/>
  <c r="D16" i="9" s="1"/>
  <c r="E29" i="9"/>
  <c r="E31" i="9" s="1"/>
  <c r="E32" i="9" s="1"/>
  <c r="E33" i="9" s="1"/>
  <c r="E34" i="9" s="1"/>
  <c r="F28" i="9"/>
  <c r="G28" i="9" s="1"/>
  <c r="H28" i="9" s="1"/>
  <c r="I28" i="9" s="1"/>
  <c r="J28" i="9" s="1"/>
  <c r="K28" i="9" s="1"/>
  <c r="L28" i="9" s="1"/>
  <c r="M28" i="9" s="1"/>
  <c r="N28" i="9" s="1"/>
  <c r="O28" i="9" s="1"/>
  <c r="D29" i="9"/>
  <c r="D31" i="9" s="1"/>
  <c r="D32" i="9" s="1"/>
  <c r="D33" i="9" s="1"/>
  <c r="D34" i="9" s="1"/>
  <c r="D37" i="10"/>
  <c r="C20" i="10"/>
  <c r="C19" i="10"/>
  <c r="C46" i="10"/>
  <c r="D45" i="10"/>
  <c r="P53" i="10"/>
  <c r="O18" i="10"/>
  <c r="D17" i="10"/>
  <c r="D54" i="10"/>
  <c r="E54" i="10" s="1"/>
  <c r="F54" i="10" s="1"/>
  <c r="G54" i="10" s="1"/>
  <c r="H54" i="10" s="1"/>
  <c r="I54" i="10" s="1"/>
  <c r="J54" i="10" s="1"/>
  <c r="K54" i="10" s="1"/>
  <c r="L54" i="10" s="1"/>
  <c r="M54" i="10" s="1"/>
  <c r="N54" i="10" s="1"/>
  <c r="O54" i="10" s="1"/>
  <c r="P54" i="10" s="1"/>
  <c r="F10" i="9"/>
  <c r="E11" i="9"/>
  <c r="E13" i="9" s="1"/>
  <c r="R4" i="13" l="1"/>
  <c r="K18" i="13" s="1"/>
  <c r="J18" i="13"/>
  <c r="B18" i="13" s="1"/>
  <c r="P22" i="12"/>
  <c r="P23" i="12"/>
  <c r="P24" i="12" s="1"/>
  <c r="Q20" i="12"/>
  <c r="Q21" i="12" s="1"/>
  <c r="R36" i="12"/>
  <c r="D22" i="12"/>
  <c r="D23" i="12" s="1"/>
  <c r="D24" i="12" s="1"/>
  <c r="S17" i="12"/>
  <c r="S19" i="12" s="1"/>
  <c r="T15" i="12"/>
  <c r="H15" i="12"/>
  <c r="G17" i="12"/>
  <c r="G19" i="12" s="1"/>
  <c r="E20" i="12"/>
  <c r="E21" i="12" s="1"/>
  <c r="F36" i="12"/>
  <c r="M30" i="11"/>
  <c r="L31" i="11"/>
  <c r="L16" i="11" s="1"/>
  <c r="H93" i="11"/>
  <c r="H74" i="11"/>
  <c r="H75" i="11" s="1"/>
  <c r="J17" i="11"/>
  <c r="J19" i="11" s="1"/>
  <c r="K15" i="11"/>
  <c r="M86" i="11"/>
  <c r="L87" i="11"/>
  <c r="L72" i="11" s="1"/>
  <c r="L73" i="11" s="1"/>
  <c r="M54" i="11"/>
  <c r="M39" i="11" s="1"/>
  <c r="N53" i="11"/>
  <c r="I90" i="11"/>
  <c r="I91" i="11"/>
  <c r="I43" i="11"/>
  <c r="I44" i="11" s="1"/>
  <c r="I45" i="11" s="1"/>
  <c r="E103" i="11"/>
  <c r="E104" i="11" s="1"/>
  <c r="E121" i="11"/>
  <c r="I20" i="11"/>
  <c r="I21" i="11" s="1"/>
  <c r="I22" i="11" s="1"/>
  <c r="G76" i="11"/>
  <c r="G77" i="11" s="1"/>
  <c r="G78" i="11" s="1"/>
  <c r="H122" i="11"/>
  <c r="J40" i="11"/>
  <c r="J42" i="11" s="1"/>
  <c r="K38" i="11"/>
  <c r="H43" i="11"/>
  <c r="H44" i="11" s="1"/>
  <c r="H45" i="11" s="1"/>
  <c r="N115" i="11"/>
  <c r="M116" i="11"/>
  <c r="M101" i="11" s="1"/>
  <c r="M102" i="11" s="1"/>
  <c r="M104" i="11" s="1"/>
  <c r="G43" i="11"/>
  <c r="G44" i="11" s="1"/>
  <c r="G45" i="11" s="1"/>
  <c r="L105" i="11"/>
  <c r="L106" i="11" s="1"/>
  <c r="L107" i="11" s="1"/>
  <c r="F29" i="9"/>
  <c r="F31" i="9" s="1"/>
  <c r="F32" i="9" s="1"/>
  <c r="F33" i="9" s="1"/>
  <c r="F34" i="9" s="1"/>
  <c r="G27" i="9"/>
  <c r="H26" i="9"/>
  <c r="G29" i="9"/>
  <c r="G31" i="9" s="1"/>
  <c r="G32" i="9" s="1"/>
  <c r="G33" i="9" s="1"/>
  <c r="G34" i="9" s="1"/>
  <c r="D46" i="10"/>
  <c r="P18" i="10"/>
  <c r="Q53" i="10"/>
  <c r="P55" i="10"/>
  <c r="Q55" i="10" s="1"/>
  <c r="Q54" i="10"/>
  <c r="E17" i="10"/>
  <c r="D20" i="10"/>
  <c r="E37" i="10"/>
  <c r="E45" i="10"/>
  <c r="D18" i="10"/>
  <c r="C21" i="10"/>
  <c r="D19" i="10"/>
  <c r="D47" i="10"/>
  <c r="F11" i="9"/>
  <c r="F13" i="9" s="1"/>
  <c r="G10" i="9"/>
  <c r="G11" i="9" s="1"/>
  <c r="G13" i="9" s="1"/>
  <c r="E14" i="9"/>
  <c r="E15" i="9" s="1"/>
  <c r="E16" i="9" s="1"/>
  <c r="E22" i="12" l="1"/>
  <c r="E23" i="12" s="1"/>
  <c r="E24" i="12" s="1"/>
  <c r="S36" i="12"/>
  <c r="R20" i="12"/>
  <c r="R21" i="12" s="1"/>
  <c r="U15" i="12"/>
  <c r="T17" i="12"/>
  <c r="T19" i="12" s="1"/>
  <c r="F20" i="12"/>
  <c r="F21" i="12" s="1"/>
  <c r="G36" i="12"/>
  <c r="H17" i="12"/>
  <c r="H19" i="12" s="1"/>
  <c r="I15" i="12"/>
  <c r="Q22" i="12"/>
  <c r="Q23" i="12" s="1"/>
  <c r="Q24" i="12" s="1"/>
  <c r="O53" i="11"/>
  <c r="N54" i="11"/>
  <c r="N39" i="11" s="1"/>
  <c r="O115" i="11"/>
  <c r="N116" i="11"/>
  <c r="N101" i="11" s="1"/>
  <c r="N102" i="11" s="1"/>
  <c r="N104" i="11" s="1"/>
  <c r="H76" i="11"/>
  <c r="H77" i="11" s="1"/>
  <c r="H78" i="11" s="1"/>
  <c r="E98" i="11"/>
  <c r="E119" i="11"/>
  <c r="J20" i="11"/>
  <c r="J21" i="11"/>
  <c r="J22" i="11" s="1"/>
  <c r="K40" i="11"/>
  <c r="K42" i="11" s="1"/>
  <c r="L38" i="11"/>
  <c r="E105" i="11"/>
  <c r="E106" i="11"/>
  <c r="E107" i="11" s="1"/>
  <c r="J90" i="11"/>
  <c r="J91" i="11"/>
  <c r="J43" i="11"/>
  <c r="J44" i="11"/>
  <c r="J45" i="11" s="1"/>
  <c r="N86" i="11"/>
  <c r="M87" i="11"/>
  <c r="M72" i="11" s="1"/>
  <c r="M73" i="11" s="1"/>
  <c r="M31" i="11"/>
  <c r="M16" i="11" s="1"/>
  <c r="N30" i="11"/>
  <c r="M105" i="11"/>
  <c r="M106" i="11"/>
  <c r="M107" i="11" s="1"/>
  <c r="I93" i="11"/>
  <c r="I74" i="11"/>
  <c r="I75" i="11" s="1"/>
  <c r="L15" i="11"/>
  <c r="K17" i="11"/>
  <c r="K19" i="11" s="1"/>
  <c r="H27" i="9"/>
  <c r="H29" i="9" s="1"/>
  <c r="H31" i="9" s="1"/>
  <c r="H32" i="9" s="1"/>
  <c r="H33" i="9" s="1"/>
  <c r="H34" i="9" s="1"/>
  <c r="I26" i="9"/>
  <c r="E46" i="10"/>
  <c r="F46" i="10" s="1"/>
  <c r="E47" i="10"/>
  <c r="F47" i="10" s="1"/>
  <c r="F17" i="10"/>
  <c r="D21" i="10"/>
  <c r="C22" i="10"/>
  <c r="C23" i="10" s="1"/>
  <c r="C24" i="10" s="1"/>
  <c r="R53" i="10"/>
  <c r="R55" i="10" s="1"/>
  <c r="Q18" i="10"/>
  <c r="E18" i="10"/>
  <c r="E19" i="10" s="1"/>
  <c r="F45" i="10"/>
  <c r="F37" i="10"/>
  <c r="E20" i="10"/>
  <c r="F14" i="9"/>
  <c r="F15" i="9" s="1"/>
  <c r="F16" i="9" s="1"/>
  <c r="C17" i="9" s="1"/>
  <c r="G14" i="9"/>
  <c r="G15" i="9" s="1"/>
  <c r="G16" i="9" s="1"/>
  <c r="S20" i="12" l="1"/>
  <c r="S21" i="12" s="1"/>
  <c r="T36" i="12"/>
  <c r="R22" i="12"/>
  <c r="R23" i="12" s="1"/>
  <c r="R24" i="12" s="1"/>
  <c r="H36" i="12"/>
  <c r="G20" i="12"/>
  <c r="G21" i="12" s="1"/>
  <c r="U17" i="12"/>
  <c r="U19" i="12" s="1"/>
  <c r="V15" i="12"/>
  <c r="F22" i="12"/>
  <c r="F23" i="12" s="1"/>
  <c r="F24" i="12" s="1"/>
  <c r="J15" i="12"/>
  <c r="I17" i="12"/>
  <c r="I19" i="12" s="1"/>
  <c r="K20" i="11"/>
  <c r="K21" i="11"/>
  <c r="K22" i="11" s="1"/>
  <c r="K91" i="11"/>
  <c r="K90" i="11"/>
  <c r="L17" i="11"/>
  <c r="L19" i="11" s="1"/>
  <c r="M15" i="11"/>
  <c r="P115" i="11"/>
  <c r="O116" i="11"/>
  <c r="O101" i="11" s="1"/>
  <c r="O102" i="11" s="1"/>
  <c r="O104" i="11" s="1"/>
  <c r="F120" i="11"/>
  <c r="N105" i="11"/>
  <c r="N106" i="11"/>
  <c r="N107" i="11" s="1"/>
  <c r="K43" i="11"/>
  <c r="K44" i="11" s="1"/>
  <c r="K45" i="11" s="1"/>
  <c r="J93" i="11"/>
  <c r="J74" i="11"/>
  <c r="J75" i="11" s="1"/>
  <c r="N31" i="11"/>
  <c r="N16" i="11" s="1"/>
  <c r="O30" i="11"/>
  <c r="I76" i="11"/>
  <c r="I77" i="11"/>
  <c r="I78" i="11" s="1"/>
  <c r="N87" i="11"/>
  <c r="N72" i="11" s="1"/>
  <c r="N73" i="11" s="1"/>
  <c r="O86" i="11"/>
  <c r="L40" i="11"/>
  <c r="L42" i="11" s="1"/>
  <c r="M38" i="11"/>
  <c r="O54" i="11"/>
  <c r="O39" i="11" s="1"/>
  <c r="P53" i="11"/>
  <c r="E21" i="10"/>
  <c r="E22" i="10" s="1"/>
  <c r="E23" i="10" s="1"/>
  <c r="E24" i="10" s="1"/>
  <c r="J26" i="9"/>
  <c r="I27" i="9"/>
  <c r="I29" i="9" s="1"/>
  <c r="I31" i="9" s="1"/>
  <c r="I32" i="9" s="1"/>
  <c r="I33" i="9" s="1"/>
  <c r="I34" i="9" s="1"/>
  <c r="C18" i="9"/>
  <c r="R54" i="10"/>
  <c r="G37" i="10"/>
  <c r="F20" i="10"/>
  <c r="F18" i="10"/>
  <c r="F19" i="10" s="1"/>
  <c r="G45" i="10"/>
  <c r="G46" i="10" s="1"/>
  <c r="D22" i="10"/>
  <c r="D23" i="10" s="1"/>
  <c r="D24" i="10" s="1"/>
  <c r="R18" i="10"/>
  <c r="S53" i="10"/>
  <c r="G17" i="10"/>
  <c r="W15" i="12" l="1"/>
  <c r="V17" i="12"/>
  <c r="V19" i="12" s="1"/>
  <c r="T20" i="12"/>
  <c r="T21" i="12" s="1"/>
  <c r="U36" i="12"/>
  <c r="J17" i="12"/>
  <c r="J19" i="12" s="1"/>
  <c r="K15" i="12"/>
  <c r="S22" i="12"/>
  <c r="S23" i="12" s="1"/>
  <c r="S24" i="12" s="1"/>
  <c r="G22" i="12"/>
  <c r="G23" i="12" s="1"/>
  <c r="G24" i="12" s="1"/>
  <c r="I36" i="12"/>
  <c r="H20" i="12"/>
  <c r="H21" i="12" s="1"/>
  <c r="P116" i="11"/>
  <c r="P101" i="11" s="1"/>
  <c r="P102" i="11" s="1"/>
  <c r="P104" i="11" s="1"/>
  <c r="Q115" i="11"/>
  <c r="P54" i="11"/>
  <c r="P39" i="11" s="1"/>
  <c r="Q53" i="11"/>
  <c r="L91" i="11"/>
  <c r="L90" i="11"/>
  <c r="P30" i="11"/>
  <c r="O31" i="11"/>
  <c r="O16" i="11" s="1"/>
  <c r="F103" i="11"/>
  <c r="F104" i="11" s="1"/>
  <c r="F121" i="11"/>
  <c r="K93" i="11"/>
  <c r="K74" i="11"/>
  <c r="K75" i="11" s="1"/>
  <c r="P86" i="11"/>
  <c r="O87" i="11"/>
  <c r="O72" i="11" s="1"/>
  <c r="O73" i="11" s="1"/>
  <c r="L21" i="11"/>
  <c r="L22" i="11" s="1"/>
  <c r="L20" i="11"/>
  <c r="N38" i="11"/>
  <c r="M40" i="11"/>
  <c r="M42" i="11" s="1"/>
  <c r="N15" i="11"/>
  <c r="M17" i="11"/>
  <c r="M19" i="11" s="1"/>
  <c r="L43" i="11"/>
  <c r="L44" i="11" s="1"/>
  <c r="L45" i="11" s="1"/>
  <c r="J77" i="11"/>
  <c r="J78" i="11" s="1"/>
  <c r="J76" i="11"/>
  <c r="O105" i="11"/>
  <c r="O106" i="11" s="1"/>
  <c r="O107" i="11" s="1"/>
  <c r="K26" i="9"/>
  <c r="J27" i="9"/>
  <c r="J29" i="9" s="1"/>
  <c r="J31" i="9" s="1"/>
  <c r="J32" i="9" s="1"/>
  <c r="J33" i="9" s="1"/>
  <c r="J34" i="9" s="1"/>
  <c r="C19" i="9"/>
  <c r="F61" i="9" s="1"/>
  <c r="S18" i="10"/>
  <c r="T53" i="10"/>
  <c r="H37" i="10"/>
  <c r="G20" i="10"/>
  <c r="S55" i="10"/>
  <c r="S54" i="10"/>
  <c r="F21" i="10"/>
  <c r="H45" i="10"/>
  <c r="H46" i="10" s="1"/>
  <c r="G18" i="10"/>
  <c r="G19" i="10" s="1"/>
  <c r="H17" i="10"/>
  <c r="G47" i="10"/>
  <c r="I20" i="12" l="1"/>
  <c r="I21" i="12" s="1"/>
  <c r="J36" i="12"/>
  <c r="U20" i="12"/>
  <c r="U21" i="12" s="1"/>
  <c r="V36" i="12"/>
  <c r="K17" i="12"/>
  <c r="K19" i="12" s="1"/>
  <c r="L15" i="12"/>
  <c r="L17" i="12" s="1"/>
  <c r="L19" i="12" s="1"/>
  <c r="T22" i="12"/>
  <c r="T23" i="12" s="1"/>
  <c r="T24" i="12" s="1"/>
  <c r="X15" i="12"/>
  <c r="W17" i="12"/>
  <c r="W19" i="12" s="1"/>
  <c r="H22" i="12"/>
  <c r="H23" i="12" s="1"/>
  <c r="H24" i="12" s="1"/>
  <c r="M90" i="11"/>
  <c r="M91" i="11"/>
  <c r="L93" i="11"/>
  <c r="L74" i="11"/>
  <c r="L75" i="11" s="1"/>
  <c r="M20" i="11"/>
  <c r="M21" i="11" s="1"/>
  <c r="M22" i="11" s="1"/>
  <c r="K76" i="11"/>
  <c r="K77" i="11" s="1"/>
  <c r="K78" i="11" s="1"/>
  <c r="Q54" i="11"/>
  <c r="Q39" i="11" s="1"/>
  <c r="R53" i="11"/>
  <c r="P31" i="11"/>
  <c r="P16" i="11" s="1"/>
  <c r="Q30" i="11"/>
  <c r="M43" i="11"/>
  <c r="M44" i="11"/>
  <c r="M45" i="11" s="1"/>
  <c r="O38" i="11"/>
  <c r="N40" i="11"/>
  <c r="N42" i="11" s="1"/>
  <c r="P105" i="11"/>
  <c r="P106" i="11"/>
  <c r="P107" i="11" s="1"/>
  <c r="Q86" i="11"/>
  <c r="P87" i="11"/>
  <c r="P72" i="11" s="1"/>
  <c r="P73" i="11" s="1"/>
  <c r="O15" i="11"/>
  <c r="N17" i="11"/>
  <c r="N19" i="11" s="1"/>
  <c r="F98" i="11"/>
  <c r="F119" i="11"/>
  <c r="Q116" i="11"/>
  <c r="Q101" i="11" s="1"/>
  <c r="Q102" i="11" s="1"/>
  <c r="Q104" i="11" s="1"/>
  <c r="R115" i="11"/>
  <c r="F105" i="11"/>
  <c r="F106" i="11"/>
  <c r="G21" i="10"/>
  <c r="G22" i="10" s="1"/>
  <c r="G23" i="10" s="1"/>
  <c r="G24" i="10" s="1"/>
  <c r="L26" i="9"/>
  <c r="K27" i="9"/>
  <c r="K29" i="9" s="1"/>
  <c r="K31" i="9" s="1"/>
  <c r="K32" i="9" s="1"/>
  <c r="K33" i="9" s="1"/>
  <c r="K34" i="9" s="1"/>
  <c r="H47" i="10"/>
  <c r="T55" i="10"/>
  <c r="I17" i="10"/>
  <c r="U53" i="10"/>
  <c r="T18" i="10"/>
  <c r="H18" i="10"/>
  <c r="H19" i="10" s="1"/>
  <c r="I45" i="10"/>
  <c r="I46" i="10" s="1"/>
  <c r="I37" i="10"/>
  <c r="H20" i="10"/>
  <c r="F22" i="10"/>
  <c r="F23" i="10" s="1"/>
  <c r="F24" i="10" s="1"/>
  <c r="T54" i="10"/>
  <c r="J20" i="12" l="1"/>
  <c r="J21" i="12" s="1"/>
  <c r="K36" i="12"/>
  <c r="I22" i="12"/>
  <c r="I23" i="12" s="1"/>
  <c r="I24" i="12" s="1"/>
  <c r="V20" i="12"/>
  <c r="V21" i="12" s="1"/>
  <c r="W36" i="12"/>
  <c r="U22" i="12"/>
  <c r="U23" i="12" s="1"/>
  <c r="U24" i="12" s="1"/>
  <c r="Y15" i="12"/>
  <c r="Y17" i="12" s="1"/>
  <c r="Y19" i="12" s="1"/>
  <c r="X17" i="12"/>
  <c r="X19" i="12" s="1"/>
  <c r="N20" i="11"/>
  <c r="N21" i="11"/>
  <c r="N22" i="11" s="1"/>
  <c r="O40" i="11"/>
  <c r="O42" i="11" s="1"/>
  <c r="P38" i="11"/>
  <c r="O17" i="11"/>
  <c r="O19" i="11" s="1"/>
  <c r="P15" i="11"/>
  <c r="Q31" i="11"/>
  <c r="Q16" i="11" s="1"/>
  <c r="R30" i="11"/>
  <c r="R31" i="11" s="1"/>
  <c r="R16" i="11" s="1"/>
  <c r="F107" i="11"/>
  <c r="Q87" i="11"/>
  <c r="Q72" i="11" s="1"/>
  <c r="Q73" i="11" s="1"/>
  <c r="R86" i="11"/>
  <c r="R87" i="11" s="1"/>
  <c r="R72" i="11" s="1"/>
  <c r="R73" i="11" s="1"/>
  <c r="L76" i="11"/>
  <c r="L77" i="11"/>
  <c r="L78" i="11" s="1"/>
  <c r="R116" i="11"/>
  <c r="R101" i="11" s="1"/>
  <c r="R102" i="11" s="1"/>
  <c r="R104" i="11" s="1"/>
  <c r="S115" i="11"/>
  <c r="Q105" i="11"/>
  <c r="Q106" i="11" s="1"/>
  <c r="Q107" i="11" s="1"/>
  <c r="M93" i="11"/>
  <c r="M74" i="11"/>
  <c r="M75" i="11" s="1"/>
  <c r="S53" i="11"/>
  <c r="R54" i="11"/>
  <c r="R39" i="11" s="1"/>
  <c r="G120" i="11"/>
  <c r="N43" i="11"/>
  <c r="N44" i="11" s="1"/>
  <c r="N45" i="11" s="1"/>
  <c r="N90" i="11"/>
  <c r="N91" i="11"/>
  <c r="M26" i="9"/>
  <c r="L27" i="9"/>
  <c r="L29" i="9" s="1"/>
  <c r="L31" i="9" s="1"/>
  <c r="L32" i="9" s="1"/>
  <c r="L33" i="9" s="1"/>
  <c r="L34" i="9" s="1"/>
  <c r="U18" i="10"/>
  <c r="V53" i="10"/>
  <c r="V18" i="10" s="1"/>
  <c r="J17" i="10"/>
  <c r="U55" i="10"/>
  <c r="H21" i="10"/>
  <c r="I20" i="10"/>
  <c r="J37" i="10"/>
  <c r="I18" i="10"/>
  <c r="I19" i="10" s="1"/>
  <c r="J45" i="10"/>
  <c r="U54" i="10"/>
  <c r="I47" i="10"/>
  <c r="J47" i="10" s="1"/>
  <c r="J22" i="12" l="1"/>
  <c r="J23" i="12" s="1"/>
  <c r="J24" i="12" s="1"/>
  <c r="W20" i="12"/>
  <c r="W21" i="12" s="1"/>
  <c r="X36" i="12"/>
  <c r="V22" i="12"/>
  <c r="V23" i="12" s="1"/>
  <c r="V24" i="12" s="1"/>
  <c r="K20" i="12"/>
  <c r="K21" i="12" s="1"/>
  <c r="L36" i="12"/>
  <c r="L20" i="12" s="1"/>
  <c r="L21" i="12" s="1"/>
  <c r="Q15" i="11"/>
  <c r="P17" i="11"/>
  <c r="P19" i="11" s="1"/>
  <c r="G103" i="11"/>
  <c r="G104" i="11" s="1"/>
  <c r="G121" i="11"/>
  <c r="S116" i="11"/>
  <c r="S101" i="11" s="1"/>
  <c r="S102" i="11" s="1"/>
  <c r="S104" i="11" s="1"/>
  <c r="T115" i="11"/>
  <c r="T53" i="11"/>
  <c r="S54" i="11"/>
  <c r="S39" i="11" s="1"/>
  <c r="O20" i="11"/>
  <c r="O21" i="11" s="1"/>
  <c r="O22" i="11" s="1"/>
  <c r="N74" i="11"/>
  <c r="N75" i="11" s="1"/>
  <c r="N93" i="11"/>
  <c r="M76" i="11"/>
  <c r="M77" i="11" s="1"/>
  <c r="M78" i="11" s="1"/>
  <c r="P40" i="11"/>
  <c r="P42" i="11" s="1"/>
  <c r="Q38" i="11"/>
  <c r="R105" i="11"/>
  <c r="R106" i="11" s="1"/>
  <c r="R107" i="11" s="1"/>
  <c r="O90" i="11"/>
  <c r="O91" i="11"/>
  <c r="O43" i="11"/>
  <c r="O44" i="11" s="1"/>
  <c r="O45" i="11" s="1"/>
  <c r="I21" i="10"/>
  <c r="I22" i="10" s="1"/>
  <c r="I23" i="10" s="1"/>
  <c r="I24" i="10" s="1"/>
  <c r="M27" i="9"/>
  <c r="M29" i="9" s="1"/>
  <c r="M31" i="9" s="1"/>
  <c r="M32" i="9" s="1"/>
  <c r="M33" i="9" s="1"/>
  <c r="M34" i="9" s="1"/>
  <c r="N26" i="9"/>
  <c r="V55" i="10"/>
  <c r="V54" i="10"/>
  <c r="J18" i="10"/>
  <c r="K45" i="10"/>
  <c r="K47" i="10" s="1"/>
  <c r="H22" i="10"/>
  <c r="H23" i="10" s="1"/>
  <c r="H24" i="10" s="1"/>
  <c r="K17" i="10"/>
  <c r="J19" i="10"/>
  <c r="J20" i="10"/>
  <c r="K37" i="10"/>
  <c r="J46" i="10"/>
  <c r="K46" i="10" s="1"/>
  <c r="K22" i="12" l="1"/>
  <c r="K23" i="12" s="1"/>
  <c r="K24" i="12" s="1"/>
  <c r="X20" i="12"/>
  <c r="X21" i="12" s="1"/>
  <c r="Y36" i="12"/>
  <c r="Y20" i="12" s="1"/>
  <c r="Y21" i="12" s="1"/>
  <c r="W22" i="12"/>
  <c r="W23" i="12"/>
  <c r="W24" i="12" s="1"/>
  <c r="L22" i="12"/>
  <c r="L23" i="12" s="1"/>
  <c r="L24" i="12" s="1"/>
  <c r="P43" i="11"/>
  <c r="P44" i="11" s="1"/>
  <c r="P45" i="11" s="1"/>
  <c r="S105" i="11"/>
  <c r="S106" i="11"/>
  <c r="S107" i="11" s="1"/>
  <c r="G98" i="11"/>
  <c r="G119" i="11"/>
  <c r="N76" i="11"/>
  <c r="N77" i="11"/>
  <c r="N78" i="11" s="1"/>
  <c r="G105" i="11"/>
  <c r="G106" i="11" s="1"/>
  <c r="G107" i="11" s="1"/>
  <c r="P20" i="11"/>
  <c r="P21" i="11" s="1"/>
  <c r="P22" i="11" s="1"/>
  <c r="R38" i="11"/>
  <c r="Q40" i="11"/>
  <c r="Q42" i="11" s="1"/>
  <c r="T54" i="11"/>
  <c r="T39" i="11" s="1"/>
  <c r="U53" i="11"/>
  <c r="O93" i="11"/>
  <c r="O74" i="11"/>
  <c r="O75" i="11" s="1"/>
  <c r="T116" i="11"/>
  <c r="T101" i="11" s="1"/>
  <c r="T102" i="11" s="1"/>
  <c r="T104" i="11" s="1"/>
  <c r="U115" i="11"/>
  <c r="P91" i="11"/>
  <c r="P90" i="11"/>
  <c r="Q17" i="11"/>
  <c r="Q19" i="11" s="1"/>
  <c r="R15" i="11"/>
  <c r="R17" i="11" s="1"/>
  <c r="R19" i="11" s="1"/>
  <c r="J21" i="10"/>
  <c r="J22" i="10" s="1"/>
  <c r="J23" i="10" s="1"/>
  <c r="J24" i="10" s="1"/>
  <c r="O26" i="9"/>
  <c r="O27" i="9" s="1"/>
  <c r="O29" i="9" s="1"/>
  <c r="O31" i="9" s="1"/>
  <c r="O32" i="9" s="1"/>
  <c r="O33" i="9" s="1"/>
  <c r="O34" i="9" s="1"/>
  <c r="N27" i="9"/>
  <c r="N29" i="9" s="1"/>
  <c r="N31" i="9" s="1"/>
  <c r="N32" i="9" s="1"/>
  <c r="N33" i="9" s="1"/>
  <c r="N34" i="9" s="1"/>
  <c r="C35" i="9" s="1"/>
  <c r="C36" i="9" s="1"/>
  <c r="C37" i="9" s="1"/>
  <c r="L17" i="10"/>
  <c r="L46" i="10"/>
  <c r="L47" i="10"/>
  <c r="L37" i="10"/>
  <c r="L20" i="10" s="1"/>
  <c r="K20" i="10"/>
  <c r="K18" i="10"/>
  <c r="K19" i="10" s="1"/>
  <c r="L45" i="10"/>
  <c r="B25" i="12" l="1"/>
  <c r="B26" i="12" s="1"/>
  <c r="Y22" i="12"/>
  <c r="Y23" i="12"/>
  <c r="Y24" i="12" s="1"/>
  <c r="X22" i="12"/>
  <c r="X23" i="12"/>
  <c r="X24" i="12" s="1"/>
  <c r="Q20" i="11"/>
  <c r="Q21" i="11"/>
  <c r="Q22" i="11" s="1"/>
  <c r="Q90" i="11"/>
  <c r="R91" i="11" s="1"/>
  <c r="Q91" i="11"/>
  <c r="Q43" i="11"/>
  <c r="Q44" i="11"/>
  <c r="Q45" i="11" s="1"/>
  <c r="P93" i="11"/>
  <c r="P74" i="11"/>
  <c r="P75" i="11" s="1"/>
  <c r="R40" i="11"/>
  <c r="R42" i="11" s="1"/>
  <c r="S38" i="11"/>
  <c r="V115" i="11"/>
  <c r="U116" i="11"/>
  <c r="U101" i="11" s="1"/>
  <c r="U102" i="11" s="1"/>
  <c r="U104" i="11" s="1"/>
  <c r="R20" i="11"/>
  <c r="R21" i="11" s="1"/>
  <c r="R22" i="11" s="1"/>
  <c r="C23" i="11" s="1"/>
  <c r="C24" i="11" s="1"/>
  <c r="C25" i="11" s="1"/>
  <c r="U54" i="11"/>
  <c r="U39" i="11" s="1"/>
  <c r="V53" i="11"/>
  <c r="H120" i="11"/>
  <c r="T105" i="11"/>
  <c r="T106" i="11" s="1"/>
  <c r="T107" i="11" s="1"/>
  <c r="O76" i="11"/>
  <c r="O77" i="11"/>
  <c r="O78" i="11" s="1"/>
  <c r="K21" i="10"/>
  <c r="K22" i="10" s="1"/>
  <c r="K23" i="10" s="1"/>
  <c r="K24" i="10" s="1"/>
  <c r="M45" i="10"/>
  <c r="L18" i="10"/>
  <c r="L19" i="10" s="1"/>
  <c r="L21" i="10" s="1"/>
  <c r="M17" i="10"/>
  <c r="O25" i="12" l="1"/>
  <c r="O26" i="12" s="1"/>
  <c r="V54" i="11"/>
  <c r="V39" i="11" s="1"/>
  <c r="W53" i="11"/>
  <c r="W54" i="11" s="1"/>
  <c r="W39" i="11" s="1"/>
  <c r="U105" i="11"/>
  <c r="U106" i="11"/>
  <c r="U107" i="11" s="1"/>
  <c r="W115" i="11"/>
  <c r="W116" i="11" s="1"/>
  <c r="W101" i="11" s="1"/>
  <c r="W102" i="11" s="1"/>
  <c r="W104" i="11" s="1"/>
  <c r="V116" i="11"/>
  <c r="V101" i="11" s="1"/>
  <c r="V102" i="11" s="1"/>
  <c r="V104" i="11" s="1"/>
  <c r="P76" i="11"/>
  <c r="P77" i="11" s="1"/>
  <c r="P78" i="11" s="1"/>
  <c r="Q93" i="11"/>
  <c r="Q74" i="11"/>
  <c r="Q75" i="11" s="1"/>
  <c r="R93" i="11"/>
  <c r="R74" i="11"/>
  <c r="R75" i="11" s="1"/>
  <c r="S40" i="11"/>
  <c r="S42" i="11" s="1"/>
  <c r="T38" i="11"/>
  <c r="H103" i="11"/>
  <c r="H104" i="11" s="1"/>
  <c r="H121" i="11"/>
  <c r="R43" i="11"/>
  <c r="R44" i="11"/>
  <c r="R45" i="11" s="1"/>
  <c r="L22" i="10"/>
  <c r="L23" i="10" s="1"/>
  <c r="L24" i="10" s="1"/>
  <c r="N17" i="10"/>
  <c r="M18" i="10"/>
  <c r="M19" i="10" s="1"/>
  <c r="M21" i="10" s="1"/>
  <c r="N45" i="10"/>
  <c r="N18" i="10" s="1"/>
  <c r="M47" i="10"/>
  <c r="N47" i="10" s="1"/>
  <c r="M46" i="10"/>
  <c r="H98" i="11" l="1"/>
  <c r="H119" i="11"/>
  <c r="V105" i="11"/>
  <c r="V106" i="11"/>
  <c r="V107" i="11" s="1"/>
  <c r="H105" i="11"/>
  <c r="H106" i="11" s="1"/>
  <c r="H107" i="11" s="1"/>
  <c r="W105" i="11"/>
  <c r="W106" i="11" s="1"/>
  <c r="W107" i="11" s="1"/>
  <c r="C108" i="11" s="1"/>
  <c r="C109" i="11" s="1"/>
  <c r="C110" i="11" s="1"/>
  <c r="Q76" i="11"/>
  <c r="Q77" i="11" s="1"/>
  <c r="Q78" i="11" s="1"/>
  <c r="T40" i="11"/>
  <c r="T42" i="11" s="1"/>
  <c r="U38" i="11"/>
  <c r="S43" i="11"/>
  <c r="S44" i="11" s="1"/>
  <c r="S45" i="11" s="1"/>
  <c r="R76" i="11"/>
  <c r="R77" i="11"/>
  <c r="R78" i="11" s="1"/>
  <c r="M22" i="10"/>
  <c r="M23" i="10" s="1"/>
  <c r="M24" i="10" s="1"/>
  <c r="O17" i="10"/>
  <c r="O19" i="10" s="1"/>
  <c r="O21" i="10" s="1"/>
  <c r="N19" i="10"/>
  <c r="N21" i="10" s="1"/>
  <c r="N46" i="10"/>
  <c r="V38" i="11" l="1"/>
  <c r="U40" i="11"/>
  <c r="U42" i="11" s="1"/>
  <c r="T43" i="11"/>
  <c r="T44" i="11"/>
  <c r="T45" i="11" s="1"/>
  <c r="C79" i="11"/>
  <c r="C80" i="11" s="1"/>
  <c r="C81" i="11" s="1"/>
  <c r="N22" i="10"/>
  <c r="N23" i="10" s="1"/>
  <c r="N24" i="10" s="1"/>
  <c r="P17" i="10"/>
  <c r="P19" i="10" s="1"/>
  <c r="P21" i="10" s="1"/>
  <c r="O22" i="10"/>
  <c r="O23" i="10" s="1"/>
  <c r="O24" i="10" s="1"/>
  <c r="U43" i="11" l="1"/>
  <c r="U44" i="11"/>
  <c r="U45" i="11" s="1"/>
  <c r="W38" i="11"/>
  <c r="W40" i="11" s="1"/>
  <c r="W42" i="11" s="1"/>
  <c r="V40" i="11"/>
  <c r="V42" i="11" s="1"/>
  <c r="P22" i="10"/>
  <c r="P23" i="10" s="1"/>
  <c r="P24" i="10" s="1"/>
  <c r="Q17" i="10"/>
  <c r="Q19" i="10" s="1"/>
  <c r="Q21" i="10" s="1"/>
  <c r="V43" i="11" l="1"/>
  <c r="V44" i="11" s="1"/>
  <c r="V45" i="11" s="1"/>
  <c r="W43" i="11"/>
  <c r="W44" i="11"/>
  <c r="W45" i="11" s="1"/>
  <c r="Q22" i="10"/>
  <c r="Q23" i="10" s="1"/>
  <c r="Q24" i="10" s="1"/>
  <c r="R17" i="10"/>
  <c r="R19" i="10" s="1"/>
  <c r="R21" i="10" s="1"/>
  <c r="C46" i="11" l="1"/>
  <c r="C47" i="11" s="1"/>
  <c r="C48" i="11" s="1"/>
  <c r="S17" i="10"/>
  <c r="S19" i="10" s="1"/>
  <c r="S21" i="10" s="1"/>
  <c r="R22" i="10"/>
  <c r="R23" i="10" s="1"/>
  <c r="R24" i="10" s="1"/>
  <c r="T17" i="10" l="1"/>
  <c r="T19" i="10" s="1"/>
  <c r="T21" i="10" s="1"/>
  <c r="S22" i="10"/>
  <c r="S23" i="10" s="1"/>
  <c r="S24" i="10" s="1"/>
  <c r="U17" i="10" l="1"/>
  <c r="U19" i="10" s="1"/>
  <c r="U21" i="10" s="1"/>
  <c r="V17" i="10"/>
  <c r="V19" i="10" s="1"/>
  <c r="V21" i="10" s="1"/>
  <c r="T22" i="10"/>
  <c r="T23" i="10" s="1"/>
  <c r="T24" i="10" s="1"/>
  <c r="V22" i="10" l="1"/>
  <c r="V23" i="10" s="1"/>
  <c r="V24" i="10" s="1"/>
  <c r="U22" i="10"/>
  <c r="U23" i="10" s="1"/>
  <c r="U24" i="10" s="1"/>
  <c r="B26" i="10" l="1"/>
  <c r="B27" i="10" s="1"/>
  <c r="B29" i="10" s="1"/>
  <c r="B28" i="10"/>
  <c r="C15" i="3" l="1"/>
  <c r="D15" i="3"/>
  <c r="E15" i="3"/>
  <c r="F15" i="3"/>
  <c r="G15" i="3"/>
  <c r="G17" i="3"/>
  <c r="F17" i="3"/>
  <c r="E17" i="3"/>
  <c r="D17" i="3"/>
  <c r="C17" i="3"/>
  <c r="G12" i="3"/>
  <c r="F12" i="3"/>
  <c r="E12" i="3"/>
  <c r="D12" i="3"/>
  <c r="C12" i="3"/>
  <c r="B12" i="3"/>
  <c r="F18" i="3" l="1"/>
  <c r="C18" i="3"/>
  <c r="D18" i="3"/>
  <c r="D19" i="3" s="1"/>
  <c r="G18" i="3"/>
  <c r="G19" i="3" s="1"/>
  <c r="E18" i="3"/>
  <c r="E19" i="3"/>
  <c r="F19" i="3"/>
  <c r="C19" i="3"/>
  <c r="E20" i="3" l="1"/>
  <c r="G20" i="3"/>
  <c r="D20" i="3"/>
  <c r="C20" i="3"/>
  <c r="F20" i="3"/>
</calcChain>
</file>

<file path=xl/sharedStrings.xml><?xml version="1.0" encoding="utf-8"?>
<sst xmlns="http://schemas.openxmlformats.org/spreadsheetml/2006/main" count="412" uniqueCount="188">
  <si>
    <t>Calibre</t>
  </si>
  <si>
    <t>3/0</t>
  </si>
  <si>
    <t>2/0</t>
  </si>
  <si>
    <t>1/0</t>
  </si>
  <si>
    <t>Inversion</t>
  </si>
  <si>
    <t>Diámetro (mm)</t>
  </si>
  <si>
    <t>Sección (mm2)</t>
  </si>
  <si>
    <t>Intensidad</t>
  </si>
  <si>
    <t>Costo energía</t>
  </si>
  <si>
    <t>A</t>
  </si>
  <si>
    <t>Uso</t>
  </si>
  <si>
    <t>h/año</t>
  </si>
  <si>
    <t>Ctvs US$/kWh</t>
  </si>
  <si>
    <t>Vida util</t>
  </si>
  <si>
    <t>Ingresos</t>
  </si>
  <si>
    <t>Egresos</t>
  </si>
  <si>
    <t>Depreciacion</t>
  </si>
  <si>
    <t>UAII</t>
  </si>
  <si>
    <t>UN</t>
  </si>
  <si>
    <t>Interes</t>
  </si>
  <si>
    <t>Coym</t>
  </si>
  <si>
    <t>I</t>
  </si>
  <si>
    <t>VAN</t>
  </si>
  <si>
    <t>Costo cobre US$/kg</t>
  </si>
  <si>
    <t>f</t>
  </si>
  <si>
    <t>Peso (kg/km)</t>
  </si>
  <si>
    <t>n</t>
  </si>
  <si>
    <t>Resistencia (Ohms/km)</t>
  </si>
  <si>
    <t>Inversión = Peso Cu * Precio Cu</t>
  </si>
  <si>
    <t xml:space="preserve"> @Inversion = Inversion * [ (1+i)^n*i]/[(1+i)^n -1]</t>
  </si>
  <si>
    <t>Costo energia = I * I * R * t</t>
  </si>
  <si>
    <t>SELECCIÓN ECONOMICA DEL CONDUCTOR ELECTRICO</t>
  </si>
  <si>
    <t>Inversion ($)</t>
  </si>
  <si>
    <t>Anualidad ($)</t>
  </si>
  <si>
    <t>O&amp;M ($)</t>
  </si>
  <si>
    <t>Costos ($)</t>
  </si>
  <si>
    <t>Total anual ($)</t>
  </si>
  <si>
    <t>Prestamo</t>
  </si>
  <si>
    <t>Capital</t>
  </si>
  <si>
    <t>Amortizacion</t>
  </si>
  <si>
    <t>Cuota</t>
  </si>
  <si>
    <t xml:space="preserve">UAI </t>
  </si>
  <si>
    <t>Vaf</t>
  </si>
  <si>
    <t>k</t>
  </si>
  <si>
    <t>CO&amp;M</t>
  </si>
  <si>
    <t>cok</t>
  </si>
  <si>
    <t>US$/kg</t>
  </si>
  <si>
    <t>Costos</t>
  </si>
  <si>
    <t xml:space="preserve">I </t>
  </si>
  <si>
    <t>x</t>
  </si>
  <si>
    <t>Este valor debería igualar al VAE del primer proyecto</t>
  </si>
  <si>
    <t xml:space="preserve"> (224.049 - 0.8297x)</t>
  </si>
  <si>
    <t>VAE</t>
  </si>
  <si>
    <t xml:space="preserve"> [32.9 + 0.3x/12]</t>
  </si>
  <si>
    <t xml:space="preserve"> 0.7 (47-x/12)+ x/12</t>
  </si>
  <si>
    <t>0.7 (47-x/12)</t>
  </si>
  <si>
    <t xml:space="preserve"> 0.3 (47-x/12)</t>
  </si>
  <si>
    <t xml:space="preserve"> 47 - x/12</t>
  </si>
  <si>
    <t xml:space="preserve"> x/12</t>
  </si>
  <si>
    <t>d</t>
  </si>
  <si>
    <t>UO</t>
  </si>
  <si>
    <t>Parte b.</t>
  </si>
  <si>
    <t>VAE 2</t>
  </si>
  <si>
    <t>VAN 2</t>
  </si>
  <si>
    <t>Vaf 2</t>
  </si>
  <si>
    <t>VAE 1</t>
  </si>
  <si>
    <t>VAN 1</t>
  </si>
  <si>
    <t>Vaf 1</t>
  </si>
  <si>
    <t>Proyecto con maquina nueva</t>
  </si>
  <si>
    <t>Proyecto con maquina en operación</t>
  </si>
  <si>
    <t>Parte a.</t>
  </si>
  <si>
    <t>Potencia</t>
  </si>
  <si>
    <t>MW</t>
  </si>
  <si>
    <t>Inversion u</t>
  </si>
  <si>
    <t>US$/kW</t>
  </si>
  <si>
    <t>Inversion facilidades</t>
  </si>
  <si>
    <t xml:space="preserve">US$ </t>
  </si>
  <si>
    <t>Inversion civiles</t>
  </si>
  <si>
    <t>US$</t>
  </si>
  <si>
    <t>Producción</t>
  </si>
  <si>
    <t>kWh</t>
  </si>
  <si>
    <t>Precio</t>
  </si>
  <si>
    <t>US$/MWh</t>
  </si>
  <si>
    <t>Gastos op</t>
  </si>
  <si>
    <t>Tasa libre de riesgo</t>
  </si>
  <si>
    <t>Rf</t>
  </si>
  <si>
    <t>Prima de mercado</t>
  </si>
  <si>
    <t>(Rm-Rf)</t>
  </si>
  <si>
    <t>Beta</t>
  </si>
  <si>
    <t>β</t>
  </si>
  <si>
    <t>Riesgo país</t>
  </si>
  <si>
    <t>rp</t>
  </si>
  <si>
    <t>Tasa impositiva a la renta</t>
  </si>
  <si>
    <t>t</t>
  </si>
  <si>
    <t>Costo de capital propio</t>
  </si>
  <si>
    <t>Ke</t>
  </si>
  <si>
    <t>ke = Rf + (Rm-Rf) + rp</t>
  </si>
  <si>
    <t>Deprec</t>
  </si>
  <si>
    <t>Costo de la deuda (kd)</t>
  </si>
  <si>
    <t xml:space="preserve"> i (1-t)</t>
  </si>
  <si>
    <t>Tasa activa del mercado</t>
  </si>
  <si>
    <t xml:space="preserve"> i</t>
  </si>
  <si>
    <t>Costo ponderado de capital</t>
  </si>
  <si>
    <t>WACC</t>
  </si>
  <si>
    <t>Peso deuda</t>
  </si>
  <si>
    <t>wd</t>
  </si>
  <si>
    <t>Peso capital propio</t>
  </si>
  <si>
    <t>we</t>
  </si>
  <si>
    <t>Vaf (cok)</t>
  </si>
  <si>
    <t>Precio minimo</t>
  </si>
  <si>
    <t>TIR</t>
  </si>
  <si>
    <t>Rentabilidad</t>
  </si>
  <si>
    <t>Amortizac</t>
  </si>
  <si>
    <t>Equipos</t>
  </si>
  <si>
    <t>Monto</t>
  </si>
  <si>
    <t xml:space="preserve">d </t>
  </si>
  <si>
    <t>D</t>
  </si>
  <si>
    <t>V</t>
  </si>
  <si>
    <t>Civiles</t>
  </si>
  <si>
    <t xml:space="preserve">D </t>
  </si>
  <si>
    <t>Central</t>
  </si>
  <si>
    <t>Inversion central</t>
  </si>
  <si>
    <t>Porcentaje</t>
  </si>
  <si>
    <t>UAI</t>
  </si>
  <si>
    <t>Costo energia pérdidas($)</t>
  </si>
  <si>
    <t xml:space="preserve">I*I*R*t*costo energia </t>
  </si>
  <si>
    <t>Costo pérdidas=</t>
  </si>
  <si>
    <t>O&amp;M               =</t>
  </si>
  <si>
    <t>2.5% * Inversion</t>
  </si>
  <si>
    <t>anual</t>
  </si>
  <si>
    <t>Anualidad I</t>
  </si>
  <si>
    <t>P((1+i)^n*i))/((1+i)^n-1)</t>
  </si>
  <si>
    <t>1 km</t>
  </si>
  <si>
    <t xml:space="preserve"> 224.17 + 0.1703 x - x</t>
  </si>
  <si>
    <t xml:space="preserve"> 224.17 - 0.8297 x</t>
  </si>
  <si>
    <t>Factor de capacidad</t>
  </si>
  <si>
    <t>i</t>
  </si>
  <si>
    <t>Delta ingresos</t>
  </si>
  <si>
    <t>Delta egresos</t>
  </si>
  <si>
    <t>Parte a</t>
  </si>
  <si>
    <t>Parte b</t>
  </si>
  <si>
    <t>Us$/MWh</t>
  </si>
  <si>
    <t xml:space="preserve">En este caso hay prestamo </t>
  </si>
  <si>
    <t xml:space="preserve">Modo analítico. Calcular el máximo valor de la nueva tecnologia </t>
  </si>
  <si>
    <t>Inversiones</t>
  </si>
  <si>
    <t>Proyectos</t>
  </si>
  <si>
    <t>Equipamiento</t>
  </si>
  <si>
    <t>Infraestructura</t>
  </si>
  <si>
    <t>Alternativa 1</t>
  </si>
  <si>
    <t>Alternativa 2</t>
  </si>
  <si>
    <t>PARTE a</t>
  </si>
  <si>
    <t>d1</t>
  </si>
  <si>
    <t>d2</t>
  </si>
  <si>
    <t>PARTE b</t>
  </si>
  <si>
    <t>Tasa</t>
  </si>
  <si>
    <t>Amortiz</t>
  </si>
  <si>
    <t>Alternativa a</t>
  </si>
  <si>
    <t>Alternativa b</t>
  </si>
  <si>
    <t>Inversión</t>
  </si>
  <si>
    <t>Clientes</t>
  </si>
  <si>
    <t>Facturacion</t>
  </si>
  <si>
    <t>Total mes</t>
  </si>
  <si>
    <t>Total año</t>
  </si>
  <si>
    <t>Celular prepago</t>
  </si>
  <si>
    <t>Celular postpago</t>
  </si>
  <si>
    <t>Fijo inalambrico pre</t>
  </si>
  <si>
    <t>Fijo inalambrico pos</t>
  </si>
  <si>
    <t>Internet</t>
  </si>
  <si>
    <t>TOTAL</t>
  </si>
  <si>
    <t>FLUJO DE CAJA</t>
  </si>
  <si>
    <t>AÑOS</t>
  </si>
  <si>
    <t>INVERSIÓN</t>
  </si>
  <si>
    <t>INGRESOS</t>
  </si>
  <si>
    <t>GASTOS</t>
  </si>
  <si>
    <t>FCF</t>
  </si>
  <si>
    <t>Porcentaje deuda</t>
  </si>
  <si>
    <t>En este caso es indiferente elelgir cualquiera de ellos y el mejor indicador es el VAE</t>
  </si>
  <si>
    <t>Incluyendo el financiamiento ésta es la meor alternativa (Mayor VAE)</t>
  </si>
  <si>
    <t>Deuda</t>
  </si>
  <si>
    <t>Parte I. (Deuda = 0%) Ambas alternativas no son viables.</t>
  </si>
  <si>
    <t>Parte II. (Deuda = 70%) Con el crédito la alternativa "a" es viable no así la alternativa "b"</t>
  </si>
  <si>
    <t>ke</t>
  </si>
  <si>
    <t>Equivalente</t>
  </si>
  <si>
    <t>Proyecto</t>
  </si>
  <si>
    <t>B</t>
  </si>
  <si>
    <t>C</t>
  </si>
  <si>
    <t>Valor presente</t>
  </si>
  <si>
    <t>La secuencia que genera mayor valor al propietario es CAB (el orden lo determina el mayor VAE)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</si>
</sst>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3" formatCode="_-* #,##0.00_-;\-* #,##0.00_-;_-* &quot;-&quot;??_-;_-@_-"/>
    <numFmt numFmtId="164" formatCode="&quot;S/.&quot;#,##0.00;[Red]&quot;S/.&quot;\-#,##0.00"/>
    <numFmt numFmtId="165" formatCode="0.0%"/>
    <numFmt numFmtId="166" formatCode="0.000"/>
    <numFmt numFmtId="167" formatCode="0.0"/>
    <numFmt numFmtId="169" formatCode="#,##0.00_ ;[Red]\-#,##0.00\ "/>
    <numFmt numFmtId="172" formatCode="_ * #,##0_ ;_ * \-#,##0_ ;_ * &quot;-&quot;??_ ;_ @_ "/>
    <numFmt numFmtId="173" formatCode="_ * #,##0.00_ ;_ * \-#,##0.00_ ;_ * &quot;-&quot;??_ ;_ @_ "/>
    <numFmt numFmtId="176" formatCode="#,##0.000_ ;[Red]\-#,##0.000\ "/>
    <numFmt numFmtId="177" formatCode="0.00_ ;[Red]\-0.00\ 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theme="3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0">
    <xf numFmtId="0" fontId="0" fillId="0" borderId="0"/>
    <xf numFmtId="9" fontId="5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17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</cellStyleXfs>
  <cellXfs count="162">
    <xf numFmtId="0" fontId="0" fillId="0" borderId="0" xfId="0"/>
    <xf numFmtId="0" fontId="6" fillId="0" borderId="0" xfId="0" applyFont="1"/>
    <xf numFmtId="9" fontId="0" fillId="0" borderId="0" xfId="0" applyNumberFormat="1"/>
    <xf numFmtId="2" fontId="0" fillId="0" borderId="0" xfId="0" applyNumberFormat="1"/>
    <xf numFmtId="166" fontId="0" fillId="0" borderId="0" xfId="0" applyNumberFormat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2" fontId="0" fillId="0" borderId="1" xfId="0" applyNumberFormat="1" applyBorder="1"/>
    <xf numFmtId="10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0" fontId="8" fillId="0" borderId="0" xfId="0" applyFont="1"/>
    <xf numFmtId="167" fontId="0" fillId="0" borderId="1" xfId="0" applyNumberFormat="1" applyBorder="1"/>
    <xf numFmtId="2" fontId="0" fillId="2" borderId="1" xfId="0" applyNumberFormat="1" applyFill="1" applyBorder="1"/>
    <xf numFmtId="0" fontId="5" fillId="0" borderId="0" xfId="0" applyFont="1"/>
    <xf numFmtId="2" fontId="0" fillId="3" borderId="1" xfId="0" applyNumberFormat="1" applyFill="1" applyBorder="1"/>
    <xf numFmtId="165" fontId="0" fillId="0" borderId="0" xfId="1" applyNumberFormat="1" applyFont="1"/>
    <xf numFmtId="2" fontId="0" fillId="4" borderId="1" xfId="0" applyNumberFormat="1" applyFill="1" applyBorder="1"/>
    <xf numFmtId="0" fontId="4" fillId="0" borderId="0" xfId="2"/>
    <xf numFmtId="169" fontId="4" fillId="0" borderId="0" xfId="2" applyNumberFormat="1"/>
    <xf numFmtId="166" fontId="4" fillId="0" borderId="0" xfId="2" applyNumberFormat="1"/>
    <xf numFmtId="167" fontId="4" fillId="0" borderId="0" xfId="2" applyNumberFormat="1"/>
    <xf numFmtId="2" fontId="4" fillId="0" borderId="0" xfId="2" applyNumberFormat="1"/>
    <xf numFmtId="167" fontId="4" fillId="2" borderId="1" xfId="2" applyNumberFormat="1" applyFill="1" applyBorder="1"/>
    <xf numFmtId="0" fontId="4" fillId="2" borderId="1" xfId="2" applyFill="1" applyBorder="1"/>
    <xf numFmtId="167" fontId="4" fillId="0" borderId="1" xfId="2" applyNumberFormat="1" applyBorder="1" applyAlignment="1">
      <alignment horizontal="right"/>
    </xf>
    <xf numFmtId="0" fontId="4" fillId="0" borderId="1" xfId="2" applyBorder="1"/>
    <xf numFmtId="2" fontId="4" fillId="0" borderId="1" xfId="2" applyNumberFormat="1" applyBorder="1" applyAlignment="1">
      <alignment horizontal="right"/>
    </xf>
    <xf numFmtId="0" fontId="4" fillId="0" borderId="1" xfId="2" applyBorder="1" applyAlignment="1">
      <alignment horizontal="right"/>
    </xf>
    <xf numFmtId="167" fontId="4" fillId="0" borderId="1" xfId="2" applyNumberFormat="1" applyBorder="1"/>
    <xf numFmtId="0" fontId="4" fillId="0" borderId="2" xfId="2" applyFill="1" applyBorder="1"/>
    <xf numFmtId="2" fontId="4" fillId="0" borderId="1" xfId="2" applyNumberFormat="1" applyBorder="1"/>
    <xf numFmtId="9" fontId="4" fillId="0" borderId="0" xfId="2" applyNumberFormat="1"/>
    <xf numFmtId="0" fontId="9" fillId="0" borderId="0" xfId="2" applyFont="1"/>
    <xf numFmtId="0" fontId="3" fillId="0" borderId="0" xfId="3"/>
    <xf numFmtId="2" fontId="3" fillId="0" borderId="0" xfId="3" applyNumberFormat="1"/>
    <xf numFmtId="10" fontId="3" fillId="0" borderId="0" xfId="3" applyNumberFormat="1"/>
    <xf numFmtId="0" fontId="3" fillId="5" borderId="1" xfId="4" applyFill="1" applyBorder="1"/>
    <xf numFmtId="10" fontId="3" fillId="5" borderId="1" xfId="4" applyNumberFormat="1" applyFill="1" applyBorder="1"/>
    <xf numFmtId="0" fontId="3" fillId="0" borderId="1" xfId="3" applyBorder="1"/>
    <xf numFmtId="172" fontId="3" fillId="0" borderId="1" xfId="3" applyNumberFormat="1" applyBorder="1"/>
    <xf numFmtId="0" fontId="10" fillId="5" borderId="1" xfId="4" applyFont="1" applyFill="1" applyBorder="1"/>
    <xf numFmtId="172" fontId="0" fillId="0" borderId="1" xfId="5" applyNumberFormat="1" applyFont="1" applyBorder="1"/>
    <xf numFmtId="1" fontId="3" fillId="0" borderId="1" xfId="3" applyNumberFormat="1" applyBorder="1"/>
    <xf numFmtId="9" fontId="3" fillId="5" borderId="1" xfId="4" applyNumberFormat="1" applyFill="1" applyBorder="1"/>
    <xf numFmtId="0" fontId="9" fillId="6" borderId="1" xfId="4" applyFont="1" applyFill="1" applyBorder="1"/>
    <xf numFmtId="165" fontId="9" fillId="6" borderId="1" xfId="6" applyNumberFormat="1" applyFont="1" applyFill="1" applyBorder="1"/>
    <xf numFmtId="0" fontId="3" fillId="3" borderId="1" xfId="4" applyFill="1" applyBorder="1"/>
    <xf numFmtId="165" fontId="0" fillId="3" borderId="1" xfId="6" applyNumberFormat="1" applyFont="1" applyFill="1" applyBorder="1"/>
    <xf numFmtId="10" fontId="9" fillId="6" borderId="1" xfId="6" applyNumberFormat="1" applyFont="1" applyFill="1" applyBorder="1"/>
    <xf numFmtId="9" fontId="0" fillId="3" borderId="1" xfId="6" applyFont="1" applyFill="1" applyBorder="1"/>
    <xf numFmtId="1" fontId="3" fillId="0" borderId="0" xfId="3" applyNumberFormat="1"/>
    <xf numFmtId="165" fontId="0" fillId="0" borderId="0" xfId="6" applyNumberFormat="1" applyFont="1"/>
    <xf numFmtId="9" fontId="0" fillId="0" borderId="0" xfId="6" applyFont="1"/>
    <xf numFmtId="0" fontId="3" fillId="0" borderId="0" xfId="3" applyAlignment="1">
      <alignment horizontal="right"/>
    </xf>
    <xf numFmtId="172" fontId="0" fillId="0" borderId="0" xfId="5" applyNumberFormat="1" applyFont="1"/>
    <xf numFmtId="167" fontId="3" fillId="0" borderId="1" xfId="3" applyNumberFormat="1" applyBorder="1"/>
    <xf numFmtId="9" fontId="3" fillId="0" borderId="0" xfId="3" applyNumberFormat="1"/>
    <xf numFmtId="0" fontId="2" fillId="0" borderId="1" xfId="2" applyFont="1" applyBorder="1"/>
    <xf numFmtId="43" fontId="0" fillId="0" borderId="0" xfId="7" applyFont="1"/>
    <xf numFmtId="0" fontId="9" fillId="7" borderId="1" xfId="2" applyFont="1" applyFill="1" applyBorder="1"/>
    <xf numFmtId="0" fontId="1" fillId="0" borderId="0" xfId="2" applyFont="1"/>
    <xf numFmtId="176" fontId="4" fillId="0" borderId="0" xfId="2" applyNumberFormat="1"/>
    <xf numFmtId="176" fontId="4" fillId="7" borderId="3" xfId="2" applyNumberFormat="1" applyFill="1" applyBorder="1"/>
    <xf numFmtId="0" fontId="1" fillId="0" borderId="0" xfId="3" applyFont="1"/>
    <xf numFmtId="9" fontId="3" fillId="0" borderId="0" xfId="1" applyFont="1"/>
    <xf numFmtId="0" fontId="1" fillId="0" borderId="0" xfId="8"/>
    <xf numFmtId="0" fontId="9" fillId="0" borderId="4" xfId="8" applyFont="1" applyBorder="1" applyAlignment="1">
      <alignment horizontal="center" vertical="center"/>
    </xf>
    <xf numFmtId="0" fontId="9" fillId="7" borderId="1" xfId="8" applyFont="1" applyFill="1" applyBorder="1" applyAlignment="1">
      <alignment horizontal="center"/>
    </xf>
    <xf numFmtId="0" fontId="9" fillId="0" borderId="5" xfId="8" applyFont="1" applyBorder="1" applyAlignment="1">
      <alignment horizontal="center" vertical="center"/>
    </xf>
    <xf numFmtId="0" fontId="13" fillId="7" borderId="1" xfId="8" applyFont="1" applyFill="1" applyBorder="1"/>
    <xf numFmtId="0" fontId="1" fillId="0" borderId="1" xfId="8" applyBorder="1"/>
    <xf numFmtId="0" fontId="9" fillId="0" borderId="0" xfId="8" applyFont="1"/>
    <xf numFmtId="9" fontId="1" fillId="0" borderId="0" xfId="8" applyNumberFormat="1"/>
    <xf numFmtId="0" fontId="1" fillId="0" borderId="2" xfId="8" applyFill="1" applyBorder="1"/>
    <xf numFmtId="172" fontId="1" fillId="0" borderId="0" xfId="9" applyNumberFormat="1" applyFont="1" applyBorder="1"/>
    <xf numFmtId="0" fontId="1" fillId="0" borderId="0" xfId="8" applyBorder="1"/>
    <xf numFmtId="172" fontId="1" fillId="0" borderId="0" xfId="8" applyNumberFormat="1" applyBorder="1"/>
    <xf numFmtId="0" fontId="1" fillId="0" borderId="1" xfId="8" applyFill="1" applyBorder="1"/>
    <xf numFmtId="1" fontId="1" fillId="0" borderId="1" xfId="8" applyNumberFormat="1" applyBorder="1"/>
    <xf numFmtId="0" fontId="1" fillId="0" borderId="1" xfId="8" applyBorder="1" applyAlignment="1">
      <alignment horizontal="center"/>
    </xf>
    <xf numFmtId="0" fontId="14" fillId="0" borderId="1" xfId="8" applyFont="1" applyBorder="1"/>
    <xf numFmtId="172" fontId="1" fillId="0" borderId="1" xfId="8" applyNumberFormat="1" applyBorder="1"/>
    <xf numFmtId="172" fontId="0" fillId="0" borderId="1" xfId="9" applyNumberFormat="1" applyFont="1" applyBorder="1"/>
    <xf numFmtId="172" fontId="0" fillId="0" borderId="0" xfId="9" applyNumberFormat="1" applyFont="1"/>
    <xf numFmtId="0" fontId="15" fillId="0" borderId="0" xfId="8" applyFont="1"/>
    <xf numFmtId="0" fontId="1" fillId="0" borderId="0" xfId="8" applyAlignment="1">
      <alignment horizontal="center" vertical="center" wrapText="1"/>
    </xf>
    <xf numFmtId="9" fontId="1" fillId="0" borderId="0" xfId="8" applyNumberFormat="1" applyAlignment="1">
      <alignment horizontal="center" vertical="center" wrapText="1"/>
    </xf>
    <xf numFmtId="0" fontId="1" fillId="0" borderId="4" xfId="8" applyBorder="1"/>
    <xf numFmtId="0" fontId="1" fillId="0" borderId="6" xfId="8" applyFill="1" applyBorder="1"/>
    <xf numFmtId="0" fontId="1" fillId="0" borderId="7" xfId="8" applyBorder="1"/>
    <xf numFmtId="0" fontId="1" fillId="0" borderId="8" xfId="8" applyFill="1" applyBorder="1"/>
    <xf numFmtId="0" fontId="1" fillId="0" borderId="1" xfId="8" applyFill="1" applyBorder="1" applyAlignment="1">
      <alignment horizontal="center" vertical="center" wrapText="1"/>
    </xf>
    <xf numFmtId="0" fontId="1" fillId="0" borderId="1" xfId="8" applyFill="1" applyBorder="1" applyAlignment="1">
      <alignment horizontal="center" vertical="center"/>
    </xf>
    <xf numFmtId="9" fontId="1" fillId="0" borderId="1" xfId="8" applyNumberFormat="1" applyFill="1" applyBorder="1" applyAlignment="1">
      <alignment horizontal="center" vertical="center"/>
    </xf>
    <xf numFmtId="0" fontId="1" fillId="0" borderId="1" xfId="8" applyBorder="1" applyAlignment="1">
      <alignment horizontal="center" vertical="center"/>
    </xf>
    <xf numFmtId="2" fontId="1" fillId="0" borderId="1" xfId="8" applyNumberFormat="1" applyBorder="1" applyAlignment="1">
      <alignment horizontal="center" vertical="center"/>
    </xf>
    <xf numFmtId="1" fontId="1" fillId="0" borderId="1" xfId="8" applyNumberFormat="1" applyBorder="1" applyAlignment="1">
      <alignment horizontal="center" vertical="center"/>
    </xf>
    <xf numFmtId="167" fontId="1" fillId="0" borderId="1" xfId="8" applyNumberFormat="1" applyBorder="1" applyAlignment="1">
      <alignment horizontal="center" vertical="center"/>
    </xf>
    <xf numFmtId="0" fontId="1" fillId="0" borderId="1" xfId="8" applyBorder="1" applyAlignment="1">
      <alignment horizontal="right" vertical="center"/>
    </xf>
    <xf numFmtId="167" fontId="1" fillId="0" borderId="1" xfId="8" applyNumberFormat="1" applyBorder="1" applyAlignment="1">
      <alignment horizontal="right" vertical="center"/>
    </xf>
    <xf numFmtId="172" fontId="0" fillId="0" borderId="1" xfId="9" applyNumberFormat="1" applyFont="1" applyBorder="1" applyAlignment="1">
      <alignment horizontal="left" vertical="center"/>
    </xf>
    <xf numFmtId="0" fontId="1" fillId="0" borderId="9" xfId="8" applyBorder="1" applyAlignment="1">
      <alignment horizontal="center" vertical="center"/>
    </xf>
    <xf numFmtId="0" fontId="1" fillId="0" borderId="10" xfId="8" applyBorder="1" applyAlignment="1">
      <alignment horizontal="center" vertical="center"/>
    </xf>
    <xf numFmtId="0" fontId="1" fillId="0" borderId="11" xfId="8" applyBorder="1" applyAlignment="1">
      <alignment horizontal="center" vertical="center"/>
    </xf>
    <xf numFmtId="0" fontId="1" fillId="0" borderId="9" xfId="8" applyBorder="1" applyAlignment="1">
      <alignment horizontal="center" vertical="center"/>
    </xf>
    <xf numFmtId="0" fontId="1" fillId="0" borderId="10" xfId="8" applyBorder="1" applyAlignment="1">
      <alignment horizontal="center" vertical="center"/>
    </xf>
    <xf numFmtId="0" fontId="1" fillId="0" borderId="11" xfId="8" applyBorder="1" applyAlignment="1">
      <alignment horizontal="center" vertical="center"/>
    </xf>
    <xf numFmtId="0" fontId="1" fillId="0" borderId="0" xfId="8" applyFill="1" applyBorder="1" applyAlignment="1">
      <alignment horizontal="center" vertical="center"/>
    </xf>
    <xf numFmtId="173" fontId="1" fillId="0" borderId="0" xfId="8" applyNumberFormat="1"/>
    <xf numFmtId="173" fontId="0" fillId="0" borderId="1" xfId="9" applyFont="1" applyFill="1" applyBorder="1" applyAlignment="1">
      <alignment horizontal="center" vertical="center"/>
    </xf>
    <xf numFmtId="167" fontId="1" fillId="0" borderId="1" xfId="8" applyNumberFormat="1" applyBorder="1"/>
    <xf numFmtId="0" fontId="9" fillId="7" borderId="1" xfId="8" applyFont="1" applyFill="1" applyBorder="1"/>
    <xf numFmtId="0" fontId="1" fillId="0" borderId="12" xfId="8" applyFill="1" applyBorder="1"/>
    <xf numFmtId="172" fontId="0" fillId="8" borderId="3" xfId="9" applyNumberFormat="1" applyFont="1" applyFill="1" applyBorder="1"/>
    <xf numFmtId="172" fontId="6" fillId="8" borderId="3" xfId="9" applyNumberFormat="1" applyFont="1" applyFill="1" applyBorder="1"/>
    <xf numFmtId="0" fontId="1" fillId="7" borderId="1" xfId="8" applyFill="1" applyBorder="1"/>
    <xf numFmtId="0" fontId="1" fillId="7" borderId="4" xfId="8" applyFill="1" applyBorder="1"/>
    <xf numFmtId="0" fontId="1" fillId="7" borderId="6" xfId="8" applyFill="1" applyBorder="1"/>
    <xf numFmtId="0" fontId="1" fillId="0" borderId="0" xfId="8" applyAlignment="1">
      <alignment horizontal="left" vertical="center" wrapText="1"/>
    </xf>
    <xf numFmtId="9" fontId="1" fillId="0" borderId="0" xfId="8" applyNumberFormat="1" applyAlignment="1">
      <alignment horizontal="right" vertical="center" wrapText="1"/>
    </xf>
    <xf numFmtId="0" fontId="16" fillId="0" borderId="3" xfId="8" applyFont="1" applyBorder="1" applyAlignment="1">
      <alignment vertical="center"/>
    </xf>
    <xf numFmtId="0" fontId="16" fillId="10" borderId="13" xfId="8" applyFont="1" applyFill="1" applyBorder="1" applyAlignment="1">
      <alignment horizontal="center" vertical="center"/>
    </xf>
    <xf numFmtId="0" fontId="17" fillId="0" borderId="0" xfId="8" applyFont="1" applyBorder="1" applyAlignment="1">
      <alignment horizontal="right" vertical="center"/>
    </xf>
    <xf numFmtId="0" fontId="16" fillId="10" borderId="14" xfId="8" applyFont="1" applyFill="1" applyBorder="1" applyAlignment="1">
      <alignment horizontal="center" vertical="center"/>
    </xf>
    <xf numFmtId="0" fontId="16" fillId="10" borderId="15" xfId="8" applyFont="1" applyFill="1" applyBorder="1" applyAlignment="1">
      <alignment horizontal="center" vertical="center"/>
    </xf>
    <xf numFmtId="0" fontId="17" fillId="0" borderId="16" xfId="8" applyFont="1" applyBorder="1" applyAlignment="1">
      <alignment horizontal="right" vertical="center"/>
    </xf>
    <xf numFmtId="0" fontId="17" fillId="0" borderId="16" xfId="8" applyFont="1" applyBorder="1" applyAlignment="1">
      <alignment vertical="center"/>
    </xf>
    <xf numFmtId="0" fontId="17" fillId="0" borderId="0" xfId="8" applyFont="1" applyBorder="1" applyAlignment="1">
      <alignment vertical="center"/>
    </xf>
    <xf numFmtId="0" fontId="16" fillId="10" borderId="17" xfId="8" applyFont="1" applyFill="1" applyBorder="1" applyAlignment="1">
      <alignment horizontal="center" vertical="center"/>
    </xf>
    <xf numFmtId="0" fontId="1" fillId="5" borderId="1" xfId="8" applyFill="1" applyBorder="1"/>
    <xf numFmtId="177" fontId="9" fillId="5" borderId="1" xfId="8" applyNumberFormat="1" applyFont="1" applyFill="1" applyBorder="1"/>
    <xf numFmtId="177" fontId="9" fillId="5" borderId="4" xfId="8" applyNumberFormat="1" applyFont="1" applyFill="1" applyBorder="1"/>
    <xf numFmtId="0" fontId="17" fillId="9" borderId="1" xfId="8" applyFont="1" applyFill="1" applyBorder="1" applyAlignment="1">
      <alignment horizontal="right" vertical="center"/>
    </xf>
    <xf numFmtId="177" fontId="9" fillId="9" borderId="1" xfId="8" applyNumberFormat="1" applyFont="1" applyFill="1" applyBorder="1"/>
    <xf numFmtId="0" fontId="12" fillId="0" borderId="16" xfId="8" applyFont="1" applyBorder="1" applyAlignment="1">
      <alignment horizontal="right" vertical="center"/>
    </xf>
    <xf numFmtId="0" fontId="12" fillId="0" borderId="16" xfId="8" applyFont="1" applyBorder="1" applyAlignment="1">
      <alignment vertical="center"/>
    </xf>
    <xf numFmtId="0" fontId="12" fillId="0" borderId="0" xfId="8" applyFont="1" applyBorder="1" applyAlignment="1">
      <alignment vertical="center"/>
    </xf>
    <xf numFmtId="0" fontId="1" fillId="11" borderId="1" xfId="8" applyFill="1" applyBorder="1"/>
    <xf numFmtId="177" fontId="9" fillId="11" borderId="1" xfId="8" applyNumberFormat="1" applyFont="1" applyFill="1" applyBorder="1"/>
    <xf numFmtId="177" fontId="9" fillId="0" borderId="0" xfId="8" applyNumberFormat="1" applyFont="1"/>
    <xf numFmtId="0" fontId="16" fillId="0" borderId="18" xfId="8" applyFont="1" applyBorder="1" applyAlignment="1">
      <alignment vertical="center"/>
    </xf>
    <xf numFmtId="0" fontId="9" fillId="0" borderId="19" xfId="8" applyFont="1" applyBorder="1"/>
    <xf numFmtId="0" fontId="9" fillId="0" borderId="8" xfId="8" applyFont="1" applyBorder="1"/>
    <xf numFmtId="177" fontId="1" fillId="0" borderId="20" xfId="8" applyNumberFormat="1" applyBorder="1"/>
    <xf numFmtId="177" fontId="1" fillId="0" borderId="21" xfId="8" applyNumberFormat="1" applyBorder="1"/>
    <xf numFmtId="177" fontId="1" fillId="0" borderId="22" xfId="8" applyNumberFormat="1" applyBorder="1"/>
    <xf numFmtId="177" fontId="1" fillId="0" borderId="23" xfId="8" applyNumberFormat="1" applyBorder="1"/>
    <xf numFmtId="177" fontId="1" fillId="0" borderId="5" xfId="8" applyNumberFormat="1" applyBorder="1"/>
    <xf numFmtId="177" fontId="1" fillId="0" borderId="24" xfId="8" applyNumberFormat="1" applyBorder="1"/>
    <xf numFmtId="177" fontId="1" fillId="0" borderId="25" xfId="8" applyNumberFormat="1" applyBorder="1"/>
    <xf numFmtId="177" fontId="1" fillId="0" borderId="26" xfId="8" applyNumberFormat="1" applyBorder="1"/>
    <xf numFmtId="177" fontId="1" fillId="0" borderId="27" xfId="8" applyNumberFormat="1" applyBorder="1"/>
    <xf numFmtId="177" fontId="1" fillId="0" borderId="0" xfId="8" applyNumberFormat="1"/>
    <xf numFmtId="173" fontId="0" fillId="0" borderId="0" xfId="9" applyFont="1"/>
    <xf numFmtId="2" fontId="9" fillId="11" borderId="1" xfId="8" applyNumberFormat="1" applyFont="1" applyFill="1" applyBorder="1"/>
    <xf numFmtId="2" fontId="17" fillId="9" borderId="1" xfId="8" applyNumberFormat="1" applyFont="1" applyFill="1" applyBorder="1" applyAlignment="1">
      <alignment horizontal="right" vertical="center"/>
    </xf>
    <xf numFmtId="0" fontId="12" fillId="0" borderId="1" xfId="8" applyFont="1" applyBorder="1" applyAlignment="1">
      <alignment horizontal="right" vertical="center"/>
    </xf>
    <xf numFmtId="0" fontId="17" fillId="0" borderId="5" xfId="8" applyFont="1" applyBorder="1" applyAlignment="1">
      <alignment horizontal="right" vertical="center"/>
    </xf>
    <xf numFmtId="0" fontId="17" fillId="0" borderId="1" xfId="8" applyFont="1" applyBorder="1" applyAlignment="1">
      <alignment horizontal="right" vertical="center"/>
    </xf>
    <xf numFmtId="0" fontId="17" fillId="0" borderId="4" xfId="8" applyFont="1" applyBorder="1" applyAlignment="1">
      <alignment horizontal="right" vertical="center"/>
    </xf>
    <xf numFmtId="2" fontId="1" fillId="0" borderId="0" xfId="8" applyNumberFormat="1"/>
  </cellXfs>
  <cellStyles count="10">
    <cellStyle name="Millares" xfId="7" builtinId="3"/>
    <cellStyle name="Millares 2" xfId="5"/>
    <cellStyle name="Millares 2 2" xfId="9"/>
    <cellStyle name="Normal" xfId="0" builtinId="0"/>
    <cellStyle name="Normal 2" xfId="2"/>
    <cellStyle name="Normal 2 2" xfId="4"/>
    <cellStyle name="Normal 2 3" xfId="8"/>
    <cellStyle name="Normal 3" xfId="3"/>
    <cellStyle name="Porcentaje" xfId="1" builtinId="5"/>
    <cellStyle name="Porcentaje 2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Seleccion de conductor</a:t>
            </a:r>
          </a:p>
        </c:rich>
      </c:tx>
      <c:layout>
        <c:manualLayout>
          <c:xMode val="edge"/>
          <c:yMode val="edge"/>
          <c:x val="0.37209304009412614"/>
          <c:y val="3.64964033674465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9734219269103"/>
          <c:y val="0.21532885087970974"/>
          <c:w val="0.71760797342192695"/>
          <c:h val="0.55474551413077766"/>
        </c:manualLayout>
      </c:layout>
      <c:lineChart>
        <c:grouping val="standard"/>
        <c:varyColors val="0"/>
        <c:ser>
          <c:idx val="0"/>
          <c:order val="0"/>
          <c:tx>
            <c:v>Anualidad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Selecc_cond!$B$10:$G$10</c:f>
              <c:strCache>
                <c:ptCount val="6"/>
                <c:pt idx="0">
                  <c:v>3/0</c:v>
                </c:pt>
                <c:pt idx="1">
                  <c:v>2/0</c:v>
                </c:pt>
                <c:pt idx="2">
                  <c:v>1/0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</c:strCache>
            </c:strRef>
          </c:cat>
          <c:val>
            <c:numRef>
              <c:f>Selecc_cond!$B$16:$G$16</c:f>
              <c:numCache>
                <c:formatCode>0.00</c:formatCode>
                <c:ptCount val="6"/>
                <c:pt idx="0">
                  <c:v>400.35171408806372</c:v>
                </c:pt>
                <c:pt idx="1">
                  <c:v>317.50673446480027</c:v>
                </c:pt>
                <c:pt idx="2">
                  <c:v>251.84558505835076</c:v>
                </c:pt>
                <c:pt idx="3">
                  <c:v>199.6634951338975</c:v>
                </c:pt>
                <c:pt idx="4">
                  <c:v>158.35924268614292</c:v>
                </c:pt>
                <c:pt idx="5">
                  <c:v>125.56808043754393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C3-459F-A8A6-B35904403286}"/>
            </c:ext>
          </c:extLst>
        </c:ser>
        <c:ser>
          <c:idx val="1"/>
          <c:order val="1"/>
          <c:tx>
            <c:v>Costos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Selecc_cond!$B$10:$G$10</c:f>
              <c:strCache>
                <c:ptCount val="6"/>
                <c:pt idx="0">
                  <c:v>3/0</c:v>
                </c:pt>
                <c:pt idx="1">
                  <c:v>2/0</c:v>
                </c:pt>
                <c:pt idx="2">
                  <c:v>1/0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</c:strCache>
            </c:strRef>
          </c:cat>
          <c:val>
            <c:numRef>
              <c:f>Selecc_cond!$B$19:$G$19</c:f>
              <c:numCache>
                <c:formatCode>0.00</c:formatCode>
                <c:ptCount val="6"/>
                <c:pt idx="0">
                  <c:v>208.38470830350749</c:v>
                </c:pt>
                <c:pt idx="1">
                  <c:v>222.90092609162488</c:v>
                </c:pt>
                <c:pt idx="2">
                  <c:v>249.46552881173949</c:v>
                </c:pt>
                <c:pt idx="3">
                  <c:v>289.44255547602</c:v>
                </c:pt>
                <c:pt idx="4">
                  <c:v>345.22816750178947</c:v>
                </c:pt>
                <c:pt idx="5">
                  <c:v>419.36851288475305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C3-459F-A8A6-B35904403286}"/>
            </c:ext>
          </c:extLst>
        </c:ser>
        <c:ser>
          <c:idx val="2"/>
          <c:order val="2"/>
          <c:tx>
            <c:v>Total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strRef>
              <c:f>Selecc_cond!$B$10:$G$10</c:f>
              <c:strCache>
                <c:ptCount val="6"/>
                <c:pt idx="0">
                  <c:v>3/0</c:v>
                </c:pt>
                <c:pt idx="1">
                  <c:v>2/0</c:v>
                </c:pt>
                <c:pt idx="2">
                  <c:v>1/0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</c:strCache>
            </c:strRef>
          </c:cat>
          <c:val>
            <c:numRef>
              <c:f>Selecc_cond!$B$20:$G$20</c:f>
              <c:numCache>
                <c:formatCode>0.00</c:formatCode>
                <c:ptCount val="6"/>
                <c:pt idx="0">
                  <c:v>608.73642239157118</c:v>
                </c:pt>
                <c:pt idx="1">
                  <c:v>540.40766055642518</c:v>
                </c:pt>
                <c:pt idx="2">
                  <c:v>501.31111387009025</c:v>
                </c:pt>
                <c:pt idx="3">
                  <c:v>489.10605060991747</c:v>
                </c:pt>
                <c:pt idx="4">
                  <c:v>503.58741018793239</c:v>
                </c:pt>
                <c:pt idx="5">
                  <c:v>544.93659332229697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C3-459F-A8A6-B35904403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4818880"/>
        <c:axId val="254817312"/>
      </c:lineChart>
      <c:catAx>
        <c:axId val="254818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Seccion</a:t>
                </a:r>
              </a:p>
            </c:rich>
          </c:tx>
          <c:layout>
            <c:manualLayout>
              <c:xMode val="edge"/>
              <c:yMode val="edge"/>
              <c:x val="0.42857145443026523"/>
              <c:y val="0.8686148237234033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48173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548173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US$/km</a:t>
                </a:r>
              </a:p>
            </c:rich>
          </c:tx>
          <c:layout>
            <c:manualLayout>
              <c:xMode val="edge"/>
              <c:yMode val="edge"/>
              <c:x val="2.6578151868947415E-2"/>
              <c:y val="0.4124093277965614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48188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4385374242012856"/>
          <c:y val="0.38686211773960533"/>
          <c:w val="0.14285709113946965"/>
          <c:h val="0.2116792605535259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20</xdr:row>
      <xdr:rowOff>38100</xdr:rowOff>
    </xdr:from>
    <xdr:to>
      <xdr:col>6</xdr:col>
      <xdr:colOff>619125</xdr:colOff>
      <xdr:row>40</xdr:row>
      <xdr:rowOff>104775</xdr:rowOff>
    </xdr:to>
    <xdr:graphicFrame macro="">
      <xdr:nvGraphicFramePr>
        <xdr:cNvPr id="308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449790</xdr:colOff>
      <xdr:row>3</xdr:row>
      <xdr:rowOff>164041</xdr:rowOff>
    </xdr:from>
    <xdr:to>
      <xdr:col>11</xdr:col>
      <xdr:colOff>89957</xdr:colOff>
      <xdr:row>6</xdr:row>
      <xdr:rowOff>42333</xdr:rowOff>
    </xdr:to>
    <xdr:sp macro="" textlink="">
      <xdr:nvSpPr>
        <xdr:cNvPr id="2" name="Cilindro 1"/>
        <xdr:cNvSpPr/>
      </xdr:nvSpPr>
      <xdr:spPr>
        <a:xfrm rot="5400000">
          <a:off x="7487707" y="-502709"/>
          <a:ext cx="370417" cy="2688167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10583</xdr:colOff>
      <xdr:row>4</xdr:row>
      <xdr:rowOff>126999</xdr:rowOff>
    </xdr:from>
    <xdr:to>
      <xdr:col>7</xdr:col>
      <xdr:colOff>439208</xdr:colOff>
      <xdr:row>5</xdr:row>
      <xdr:rowOff>84666</xdr:rowOff>
    </xdr:to>
    <xdr:sp macro="" textlink="">
      <xdr:nvSpPr>
        <xdr:cNvPr id="3" name="Flecha derecha 2"/>
        <xdr:cNvSpPr/>
      </xdr:nvSpPr>
      <xdr:spPr>
        <a:xfrm>
          <a:off x="5889625" y="783166"/>
          <a:ext cx="428625" cy="12170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11</xdr:col>
      <xdr:colOff>57150</xdr:colOff>
      <xdr:row>4</xdr:row>
      <xdr:rowOff>88900</xdr:rowOff>
    </xdr:from>
    <xdr:to>
      <xdr:col>11</xdr:col>
      <xdr:colOff>485775</xdr:colOff>
      <xdr:row>5</xdr:row>
      <xdr:rowOff>46567</xdr:rowOff>
    </xdr:to>
    <xdr:sp macro="" textlink="">
      <xdr:nvSpPr>
        <xdr:cNvPr id="5" name="Flecha derecha 4"/>
        <xdr:cNvSpPr/>
      </xdr:nvSpPr>
      <xdr:spPr>
        <a:xfrm>
          <a:off x="8984192" y="745067"/>
          <a:ext cx="428625" cy="12170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476250</xdr:colOff>
      <xdr:row>6</xdr:row>
      <xdr:rowOff>107950</xdr:rowOff>
    </xdr:from>
    <xdr:to>
      <xdr:col>11</xdr:col>
      <xdr:colOff>38100</xdr:colOff>
      <xdr:row>8</xdr:row>
      <xdr:rowOff>88900</xdr:rowOff>
    </xdr:to>
    <xdr:sp macro="" textlink="">
      <xdr:nvSpPr>
        <xdr:cNvPr id="4" name="Abrir llave 3"/>
        <xdr:cNvSpPr/>
      </xdr:nvSpPr>
      <xdr:spPr>
        <a:xfrm rot="16200000">
          <a:off x="7616825" y="-161925"/>
          <a:ext cx="311150" cy="283210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zoomScaleNormal="100" workbookViewId="0">
      <selection activeCell="I23" sqref="I23"/>
    </sheetView>
  </sheetViews>
  <sheetFormatPr baseColWidth="10" defaultRowHeight="12.5" x14ac:dyDescent="0.25"/>
  <cols>
    <col min="1" max="1" width="23.7265625" customWidth="1"/>
    <col min="2" max="2" width="9.81640625" customWidth="1"/>
    <col min="3" max="4" width="10.1796875" customWidth="1"/>
    <col min="5" max="5" width="9.7265625" customWidth="1"/>
    <col min="6" max="7" width="10.26953125" customWidth="1"/>
    <col min="9" max="9" width="14.08984375" customWidth="1"/>
  </cols>
  <sheetData>
    <row r="1" spans="1:12" ht="13" x14ac:dyDescent="0.3">
      <c r="A1" s="1" t="s">
        <v>31</v>
      </c>
      <c r="B1" s="3"/>
      <c r="C1" s="3"/>
      <c r="D1" s="3"/>
      <c r="E1" s="3"/>
      <c r="F1" s="3"/>
      <c r="G1" s="3"/>
    </row>
    <row r="2" spans="1:12" ht="13" x14ac:dyDescent="0.3">
      <c r="A2" s="1" t="s">
        <v>7</v>
      </c>
      <c r="B2">
        <v>45</v>
      </c>
      <c r="C2" t="s">
        <v>9</v>
      </c>
      <c r="D2" s="4"/>
      <c r="E2" s="3"/>
      <c r="F2" s="3"/>
      <c r="G2" s="3"/>
      <c r="J2" s="4"/>
    </row>
    <row r="3" spans="1:12" ht="13" x14ac:dyDescent="0.3">
      <c r="A3" s="1" t="s">
        <v>10</v>
      </c>
      <c r="B3">
        <v>6000</v>
      </c>
      <c r="C3" t="s">
        <v>11</v>
      </c>
    </row>
    <row r="4" spans="1:12" ht="13" x14ac:dyDescent="0.3">
      <c r="A4" s="1" t="s">
        <v>8</v>
      </c>
      <c r="B4">
        <v>5</v>
      </c>
      <c r="C4" t="s">
        <v>12</v>
      </c>
      <c r="E4" s="10"/>
    </row>
    <row r="5" spans="1:12" ht="13" x14ac:dyDescent="0.3">
      <c r="A5" s="1" t="s">
        <v>43</v>
      </c>
      <c r="B5" s="2">
        <v>0.1</v>
      </c>
      <c r="G5" s="14" t="s">
        <v>7</v>
      </c>
    </row>
    <row r="6" spans="1:12" ht="13" x14ac:dyDescent="0.3">
      <c r="A6" s="1" t="s">
        <v>23</v>
      </c>
      <c r="B6" s="3">
        <v>4.5</v>
      </c>
      <c r="C6" s="14" t="s">
        <v>46</v>
      </c>
      <c r="E6" s="59"/>
    </row>
    <row r="7" spans="1:12" ht="13" x14ac:dyDescent="0.3">
      <c r="A7" s="1" t="s">
        <v>44</v>
      </c>
      <c r="B7" s="16">
        <v>2.5000000000000001E-2</v>
      </c>
      <c r="C7" s="14" t="s">
        <v>4</v>
      </c>
    </row>
    <row r="8" spans="1:12" ht="13" x14ac:dyDescent="0.3">
      <c r="A8" s="1" t="s">
        <v>26</v>
      </c>
      <c r="B8">
        <v>20</v>
      </c>
    </row>
    <row r="9" spans="1:12" x14ac:dyDescent="0.25">
      <c r="J9" s="14" t="s">
        <v>132</v>
      </c>
    </row>
    <row r="10" spans="1:12" ht="13" x14ac:dyDescent="0.3">
      <c r="A10" s="5" t="s">
        <v>0</v>
      </c>
      <c r="B10" s="5" t="s">
        <v>1</v>
      </c>
      <c r="C10" s="5" t="s">
        <v>2</v>
      </c>
      <c r="D10" s="5" t="s">
        <v>3</v>
      </c>
      <c r="E10" s="5">
        <v>1</v>
      </c>
      <c r="F10" s="5">
        <v>2</v>
      </c>
      <c r="G10" s="5">
        <v>3</v>
      </c>
    </row>
    <row r="11" spans="1:12" ht="13" x14ac:dyDescent="0.3">
      <c r="A11" s="6" t="s">
        <v>5</v>
      </c>
      <c r="B11" s="15">
        <v>10.404855999999999</v>
      </c>
      <c r="C11" s="15">
        <v>9.2659199999999995</v>
      </c>
      <c r="D11" s="15">
        <v>8.2514439999999993</v>
      </c>
      <c r="E11" s="15">
        <v>7.3482199999999995</v>
      </c>
      <c r="F11" s="15">
        <v>6.5438020000000003</v>
      </c>
      <c r="G11" s="15">
        <v>5.8272680000000001</v>
      </c>
    </row>
    <row r="12" spans="1:12" ht="13" x14ac:dyDescent="0.3">
      <c r="A12" s="6" t="s">
        <v>6</v>
      </c>
      <c r="B12" s="15">
        <f t="shared" ref="B12:G12" si="0">+B11^2*3.1416/4</f>
        <v>85.028211690230037</v>
      </c>
      <c r="C12" s="15">
        <f t="shared" si="0"/>
        <v>67.432302564802555</v>
      </c>
      <c r="D12" s="15">
        <f t="shared" si="0"/>
        <v>53.475002078065806</v>
      </c>
      <c r="E12" s="15">
        <f t="shared" si="0"/>
        <v>42.408723212061354</v>
      </c>
      <c r="F12" s="15">
        <f t="shared" si="0"/>
        <v>33.631884060781225</v>
      </c>
      <c r="G12" s="15">
        <f t="shared" si="0"/>
        <v>26.669868910839373</v>
      </c>
    </row>
    <row r="13" spans="1:12" ht="13" x14ac:dyDescent="0.3">
      <c r="A13" s="6" t="s">
        <v>25</v>
      </c>
      <c r="B13" s="15">
        <v>757.4266284896205</v>
      </c>
      <c r="C13" s="15">
        <v>600.69195895967539</v>
      </c>
      <c r="D13" s="15">
        <v>476.4674302075876</v>
      </c>
      <c r="E13" s="15">
        <v>377.74397518491998</v>
      </c>
      <c r="F13" s="15">
        <v>299.60033404915288</v>
      </c>
      <c r="G13" s="15">
        <v>237.56263421617751</v>
      </c>
    </row>
    <row r="14" spans="1:12" ht="13" x14ac:dyDescent="0.3">
      <c r="A14" s="6" t="s">
        <v>27</v>
      </c>
      <c r="B14" s="15">
        <v>0.20275590551181102</v>
      </c>
      <c r="C14" s="15">
        <v>0.2556758530183727</v>
      </c>
      <c r="D14" s="15">
        <v>0.32240813648293964</v>
      </c>
      <c r="E14" s="15">
        <v>0.40649606299212593</v>
      </c>
      <c r="F14" s="15">
        <v>0.51279527559055116</v>
      </c>
      <c r="G14" s="15">
        <v>0.64632545931758523</v>
      </c>
    </row>
    <row r="15" spans="1:12" ht="13" x14ac:dyDescent="0.3">
      <c r="A15" s="6" t="s">
        <v>32</v>
      </c>
      <c r="B15" s="7">
        <f>+B13*$B$6</f>
        <v>3408.4198282032921</v>
      </c>
      <c r="C15" s="7">
        <f t="shared" ref="C15:G15" si="1">+C13*$B$6</f>
        <v>2703.1138153185393</v>
      </c>
      <c r="D15" s="7">
        <f t="shared" si="1"/>
        <v>2144.1034359341443</v>
      </c>
      <c r="E15" s="12">
        <f t="shared" si="1"/>
        <v>1699.84788833214</v>
      </c>
      <c r="F15" s="7">
        <f t="shared" si="1"/>
        <v>1348.201503221188</v>
      </c>
      <c r="G15" s="7">
        <f t="shared" si="1"/>
        <v>1069.0318539727989</v>
      </c>
    </row>
    <row r="16" spans="1:12" ht="13" x14ac:dyDescent="0.3">
      <c r="A16" s="6" t="s">
        <v>33</v>
      </c>
      <c r="B16" s="7">
        <f>-PMT($B$5,$B$8,B15)</f>
        <v>400.35171408806372</v>
      </c>
      <c r="C16" s="7">
        <f t="shared" ref="C16:G16" si="2">-PMT($B$5,$B$8,C15)</f>
        <v>317.50673446480027</v>
      </c>
      <c r="D16" s="7">
        <f t="shared" si="2"/>
        <v>251.84558505835076</v>
      </c>
      <c r="E16" s="7">
        <f t="shared" si="2"/>
        <v>199.6634951338975</v>
      </c>
      <c r="F16" s="7">
        <f t="shared" si="2"/>
        <v>158.35924268614292</v>
      </c>
      <c r="G16" s="7">
        <f t="shared" si="2"/>
        <v>125.56808043754393</v>
      </c>
      <c r="H16" s="9"/>
      <c r="I16" s="14" t="s">
        <v>130</v>
      </c>
      <c r="J16" s="14" t="s">
        <v>131</v>
      </c>
      <c r="L16" s="14" t="s">
        <v>129</v>
      </c>
    </row>
    <row r="17" spans="1:12" ht="13" x14ac:dyDescent="0.3">
      <c r="A17" s="6" t="s">
        <v>124</v>
      </c>
      <c r="B17" s="7">
        <f>+$B$2^2*B14*$B$3*$B$4/100000</f>
        <v>123.17421259842519</v>
      </c>
      <c r="C17" s="7">
        <f t="shared" ref="C17:G17" si="3">+$B$2^2*C14*$B$3*$B$4/100000</f>
        <v>155.32308070866139</v>
      </c>
      <c r="D17" s="7">
        <f t="shared" si="3"/>
        <v>195.86294291338587</v>
      </c>
      <c r="E17" s="7">
        <f t="shared" si="3"/>
        <v>246.9463582677165</v>
      </c>
      <c r="F17" s="7">
        <f t="shared" si="3"/>
        <v>311.52312992125979</v>
      </c>
      <c r="G17" s="7">
        <f t="shared" si="3"/>
        <v>392.64271653543307</v>
      </c>
      <c r="I17" s="14" t="s">
        <v>126</v>
      </c>
      <c r="J17" s="14" t="s">
        <v>125</v>
      </c>
      <c r="L17" s="14" t="s">
        <v>129</v>
      </c>
    </row>
    <row r="18" spans="1:12" ht="13" x14ac:dyDescent="0.3">
      <c r="A18" s="6" t="s">
        <v>34</v>
      </c>
      <c r="B18" s="7">
        <f>B7*B15</f>
        <v>85.210495705082309</v>
      </c>
      <c r="C18" s="7">
        <f t="shared" ref="C18:G18" si="4">0.025*C15</f>
        <v>67.577845382963488</v>
      </c>
      <c r="D18" s="7">
        <f t="shared" si="4"/>
        <v>53.60258589835361</v>
      </c>
      <c r="E18" s="7">
        <f t="shared" si="4"/>
        <v>42.496197208303499</v>
      </c>
      <c r="F18" s="7">
        <f t="shared" si="4"/>
        <v>33.705037580529698</v>
      </c>
      <c r="G18" s="7">
        <f t="shared" si="4"/>
        <v>26.725796349319975</v>
      </c>
      <c r="I18" s="14" t="s">
        <v>127</v>
      </c>
      <c r="J18" s="14" t="s">
        <v>128</v>
      </c>
      <c r="L18" s="14" t="s">
        <v>129</v>
      </c>
    </row>
    <row r="19" spans="1:12" ht="13" x14ac:dyDescent="0.3">
      <c r="A19" s="6" t="s">
        <v>35</v>
      </c>
      <c r="B19" s="7">
        <f>+B17+B18</f>
        <v>208.38470830350749</v>
      </c>
      <c r="C19" s="7">
        <f t="shared" ref="C19:G19" si="5">+C17+C18</f>
        <v>222.90092609162488</v>
      </c>
      <c r="D19" s="7">
        <f t="shared" si="5"/>
        <v>249.46552881173949</v>
      </c>
      <c r="E19" s="7">
        <f t="shared" si="5"/>
        <v>289.44255547602</v>
      </c>
      <c r="F19" s="7">
        <f t="shared" si="5"/>
        <v>345.22816750178947</v>
      </c>
      <c r="G19" s="7">
        <f t="shared" si="5"/>
        <v>419.36851288475305</v>
      </c>
    </row>
    <row r="20" spans="1:12" ht="13" x14ac:dyDescent="0.3">
      <c r="A20" s="6" t="s">
        <v>36</v>
      </c>
      <c r="B20" s="7">
        <f>+B19+B16</f>
        <v>608.73642239157118</v>
      </c>
      <c r="C20" s="7">
        <f t="shared" ref="C20:G20" si="6">+C19+C16</f>
        <v>540.40766055642518</v>
      </c>
      <c r="D20" s="17">
        <f t="shared" si="6"/>
        <v>501.31111387009025</v>
      </c>
      <c r="E20" s="13">
        <f t="shared" si="6"/>
        <v>489.10605060991747</v>
      </c>
      <c r="F20" s="7">
        <f t="shared" si="6"/>
        <v>503.58741018793239</v>
      </c>
      <c r="G20" s="7">
        <f t="shared" si="6"/>
        <v>544.93659332229697</v>
      </c>
    </row>
    <row r="41" spans="1:3" x14ac:dyDescent="0.25">
      <c r="C41" s="8"/>
    </row>
    <row r="43" spans="1:3" x14ac:dyDescent="0.25">
      <c r="A43" s="11" t="s">
        <v>28</v>
      </c>
    </row>
    <row r="44" spans="1:3" x14ac:dyDescent="0.25">
      <c r="A44" s="11" t="s">
        <v>29</v>
      </c>
    </row>
    <row r="45" spans="1:3" x14ac:dyDescent="0.25">
      <c r="A45" s="11" t="s">
        <v>30</v>
      </c>
    </row>
  </sheetData>
  <phoneticPr fontId="7" type="noConversion"/>
  <printOptions horizontalCentered="1" verticalCentered="1"/>
  <pageMargins left="0.78740157480314965" right="0.78740157480314965" top="0.98425196850393704" bottom="0.98425196850393704" header="0" footer="0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topLeftCell="A37" zoomScale="90" zoomScaleNormal="90" workbookViewId="0">
      <selection activeCell="A42" sqref="A42"/>
    </sheetView>
  </sheetViews>
  <sheetFormatPr baseColWidth="10" defaultRowHeight="14.5" x14ac:dyDescent="0.35"/>
  <cols>
    <col min="1" max="3" width="10.90625" style="18"/>
    <col min="4" max="4" width="12.7265625" style="18" customWidth="1"/>
    <col min="5" max="16384" width="10.90625" style="18"/>
  </cols>
  <sheetData>
    <row r="1" spans="1:7" x14ac:dyDescent="0.35">
      <c r="A1" s="33" t="s">
        <v>70</v>
      </c>
    </row>
    <row r="2" spans="1:7" x14ac:dyDescent="0.35">
      <c r="A2" s="33" t="s">
        <v>69</v>
      </c>
    </row>
    <row r="3" spans="1:7" x14ac:dyDescent="0.35">
      <c r="B3" s="18" t="s">
        <v>45</v>
      </c>
      <c r="C3" s="32">
        <v>0.1</v>
      </c>
    </row>
    <row r="5" spans="1:7" x14ac:dyDescent="0.35">
      <c r="B5" s="60"/>
      <c r="C5" s="60">
        <v>0</v>
      </c>
      <c r="D5" s="60">
        <v>1</v>
      </c>
      <c r="E5" s="60">
        <v>2</v>
      </c>
      <c r="F5" s="60">
        <v>3</v>
      </c>
      <c r="G5" s="60">
        <v>4</v>
      </c>
    </row>
    <row r="6" spans="1:7" x14ac:dyDescent="0.35">
      <c r="B6" s="26" t="s">
        <v>4</v>
      </c>
      <c r="C6" s="26">
        <v>-80</v>
      </c>
      <c r="D6" s="26"/>
      <c r="E6" s="26"/>
      <c r="F6" s="26"/>
      <c r="G6" s="26">
        <v>0</v>
      </c>
    </row>
    <row r="7" spans="1:7" x14ac:dyDescent="0.35">
      <c r="B7" s="26" t="s">
        <v>14</v>
      </c>
      <c r="C7" s="26"/>
      <c r="D7" s="26">
        <v>50</v>
      </c>
      <c r="E7" s="26">
        <v>52</v>
      </c>
      <c r="F7" s="26">
        <v>54</v>
      </c>
      <c r="G7" s="26">
        <v>54</v>
      </c>
    </row>
    <row r="8" spans="1:7" x14ac:dyDescent="0.35">
      <c r="B8" s="26" t="s">
        <v>20</v>
      </c>
      <c r="C8" s="26"/>
      <c r="D8" s="26">
        <v>12</v>
      </c>
      <c r="E8" s="26">
        <v>12</v>
      </c>
      <c r="F8" s="26">
        <v>12</v>
      </c>
      <c r="G8" s="26">
        <v>12</v>
      </c>
    </row>
    <row r="9" spans="1:7" x14ac:dyDescent="0.35">
      <c r="B9" s="26" t="s">
        <v>60</v>
      </c>
      <c r="C9" s="26"/>
      <c r="D9" s="26">
        <f>+D7-D8</f>
        <v>38</v>
      </c>
      <c r="E9" s="26">
        <f>+E7-E8</f>
        <v>40</v>
      </c>
      <c r="F9" s="26">
        <f>+F7-F8</f>
        <v>42</v>
      </c>
      <c r="G9" s="26">
        <f>+G7-G8</f>
        <v>42</v>
      </c>
    </row>
    <row r="10" spans="1:7" x14ac:dyDescent="0.35">
      <c r="B10" s="26" t="s">
        <v>59</v>
      </c>
      <c r="C10" s="26"/>
      <c r="D10" s="29">
        <f>+(-C6-G6)/4</f>
        <v>20</v>
      </c>
      <c r="E10" s="29">
        <f>+D10</f>
        <v>20</v>
      </c>
      <c r="F10" s="29">
        <f>+E10</f>
        <v>20</v>
      </c>
      <c r="G10" s="29">
        <f>+F10</f>
        <v>20</v>
      </c>
    </row>
    <row r="11" spans="1:7" x14ac:dyDescent="0.35">
      <c r="B11" s="26" t="s">
        <v>17</v>
      </c>
      <c r="C11" s="26"/>
      <c r="D11" s="29">
        <f>+D9-D10</f>
        <v>18</v>
      </c>
      <c r="E11" s="29">
        <f>+E9-E10</f>
        <v>20</v>
      </c>
      <c r="F11" s="29">
        <f>+F9-F10</f>
        <v>22</v>
      </c>
      <c r="G11" s="29">
        <f>+G9-G10</f>
        <v>22</v>
      </c>
    </row>
    <row r="12" spans="1:7" x14ac:dyDescent="0.35">
      <c r="B12" s="26" t="s">
        <v>21</v>
      </c>
      <c r="C12" s="26"/>
      <c r="D12" s="26">
        <v>0</v>
      </c>
      <c r="E12" s="26">
        <v>0</v>
      </c>
      <c r="F12" s="26">
        <v>0</v>
      </c>
      <c r="G12" s="26">
        <v>0</v>
      </c>
    </row>
    <row r="13" spans="1:7" x14ac:dyDescent="0.35">
      <c r="B13" s="58" t="s">
        <v>123</v>
      </c>
      <c r="C13" s="26"/>
      <c r="D13" s="29">
        <f>+D11-D12</f>
        <v>18</v>
      </c>
      <c r="E13" s="29">
        <f>+E11-E12</f>
        <v>20</v>
      </c>
      <c r="F13" s="29">
        <f>+F11-F12</f>
        <v>22</v>
      </c>
      <c r="G13" s="29">
        <f>+G11-G12</f>
        <v>22</v>
      </c>
    </row>
    <row r="14" spans="1:7" x14ac:dyDescent="0.35">
      <c r="B14" s="26" t="s">
        <v>48</v>
      </c>
      <c r="C14" s="26"/>
      <c r="D14" s="26">
        <f>0.3*D13</f>
        <v>5.3999999999999995</v>
      </c>
      <c r="E14" s="26">
        <f>0.3*E13</f>
        <v>6</v>
      </c>
      <c r="F14" s="26">
        <f>0.3*F13</f>
        <v>6.6</v>
      </c>
      <c r="G14" s="26">
        <f>0.3*G13</f>
        <v>6.6</v>
      </c>
    </row>
    <row r="15" spans="1:7" x14ac:dyDescent="0.35">
      <c r="B15" s="26" t="s">
        <v>18</v>
      </c>
      <c r="C15" s="26"/>
      <c r="D15" s="29">
        <f>+D13-D14</f>
        <v>12.600000000000001</v>
      </c>
      <c r="E15" s="29">
        <f>+E13-E14</f>
        <v>14</v>
      </c>
      <c r="F15" s="29">
        <f>+F13-F14</f>
        <v>15.4</v>
      </c>
      <c r="G15" s="29">
        <f>+G13-G14</f>
        <v>15.4</v>
      </c>
    </row>
    <row r="16" spans="1:7" x14ac:dyDescent="0.35">
      <c r="B16" s="24" t="s">
        <v>24</v>
      </c>
      <c r="C16" s="24">
        <f>+C6</f>
        <v>-80</v>
      </c>
      <c r="D16" s="23">
        <f>+D15+D10</f>
        <v>32.6</v>
      </c>
      <c r="E16" s="23">
        <f>+E15+E10</f>
        <v>34</v>
      </c>
      <c r="F16" s="23">
        <f>+F15+F10</f>
        <v>35.4</v>
      </c>
      <c r="G16" s="23">
        <f>+G15+G10</f>
        <v>35.4</v>
      </c>
    </row>
    <row r="17" spans="1:15" x14ac:dyDescent="0.35">
      <c r="B17" s="18" t="s">
        <v>67</v>
      </c>
      <c r="C17" s="19">
        <f>NPV(10%,D16:G16)</f>
        <v>108.51075746192198</v>
      </c>
    </row>
    <row r="18" spans="1:15" ht="15" thickBot="1" x14ac:dyDescent="0.4">
      <c r="B18" s="18" t="s">
        <v>66</v>
      </c>
      <c r="C18" s="19">
        <f>+C17+C16</f>
        <v>28.510757461921983</v>
      </c>
    </row>
    <row r="19" spans="1:15" ht="15" thickBot="1" x14ac:dyDescent="0.4">
      <c r="B19" s="18" t="s">
        <v>65</v>
      </c>
      <c r="C19" s="63">
        <f>-PMT(10%,4,C18)</f>
        <v>8.9943115707821537</v>
      </c>
    </row>
    <row r="20" spans="1:15" x14ac:dyDescent="0.35">
      <c r="C20" s="19"/>
    </row>
    <row r="21" spans="1:15" x14ac:dyDescent="0.35">
      <c r="A21" s="33" t="s">
        <v>61</v>
      </c>
      <c r="C21" s="19"/>
    </row>
    <row r="22" spans="1:15" x14ac:dyDescent="0.35">
      <c r="A22" s="33" t="s">
        <v>68</v>
      </c>
    </row>
    <row r="23" spans="1:15" x14ac:dyDescent="0.35">
      <c r="B23" s="26"/>
      <c r="C23" s="26">
        <v>0</v>
      </c>
      <c r="D23" s="26">
        <v>1</v>
      </c>
      <c r="E23" s="26">
        <v>2</v>
      </c>
      <c r="F23" s="26">
        <v>3</v>
      </c>
      <c r="G23" s="26">
        <v>4</v>
      </c>
      <c r="H23" s="26">
        <v>5</v>
      </c>
      <c r="I23" s="26">
        <v>6</v>
      </c>
      <c r="J23" s="26">
        <v>7</v>
      </c>
      <c r="K23" s="26">
        <v>8</v>
      </c>
      <c r="L23" s="26">
        <v>9</v>
      </c>
      <c r="M23" s="26">
        <v>10</v>
      </c>
      <c r="N23" s="26">
        <v>11</v>
      </c>
      <c r="O23" s="26">
        <v>12</v>
      </c>
    </row>
    <row r="24" spans="1:15" x14ac:dyDescent="0.35">
      <c r="B24" s="26" t="s">
        <v>4</v>
      </c>
      <c r="C24" s="29">
        <v>196.3317110766113</v>
      </c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>
        <v>0</v>
      </c>
    </row>
    <row r="25" spans="1:15" x14ac:dyDescent="0.35">
      <c r="B25" s="26" t="s">
        <v>14</v>
      </c>
      <c r="C25" s="26"/>
      <c r="D25" s="26">
        <v>55</v>
      </c>
      <c r="E25" s="26">
        <v>55</v>
      </c>
      <c r="F25" s="26">
        <v>55</v>
      </c>
      <c r="G25" s="26">
        <v>55</v>
      </c>
      <c r="H25" s="26">
        <v>55</v>
      </c>
      <c r="I25" s="26">
        <v>55</v>
      </c>
      <c r="J25" s="26">
        <v>55</v>
      </c>
      <c r="K25" s="26">
        <v>55</v>
      </c>
      <c r="L25" s="26">
        <v>55</v>
      </c>
      <c r="M25" s="26">
        <v>55</v>
      </c>
      <c r="N25" s="26">
        <v>55</v>
      </c>
      <c r="O25" s="26">
        <v>55</v>
      </c>
    </row>
    <row r="26" spans="1:15" x14ac:dyDescent="0.35">
      <c r="B26" s="26" t="s">
        <v>20</v>
      </c>
      <c r="C26" s="26"/>
      <c r="D26" s="26">
        <v>8</v>
      </c>
      <c r="E26" s="26">
        <f t="shared" ref="E26:O26" si="0">+D26</f>
        <v>8</v>
      </c>
      <c r="F26" s="26">
        <f t="shared" si="0"/>
        <v>8</v>
      </c>
      <c r="G26" s="26">
        <f t="shared" si="0"/>
        <v>8</v>
      </c>
      <c r="H26" s="26">
        <f t="shared" si="0"/>
        <v>8</v>
      </c>
      <c r="I26" s="26">
        <f t="shared" si="0"/>
        <v>8</v>
      </c>
      <c r="J26" s="26">
        <f t="shared" si="0"/>
        <v>8</v>
      </c>
      <c r="K26" s="26">
        <f t="shared" si="0"/>
        <v>8</v>
      </c>
      <c r="L26" s="26">
        <f t="shared" si="0"/>
        <v>8</v>
      </c>
      <c r="M26" s="26">
        <f t="shared" si="0"/>
        <v>8</v>
      </c>
      <c r="N26" s="26">
        <f t="shared" si="0"/>
        <v>8</v>
      </c>
      <c r="O26" s="26">
        <f t="shared" si="0"/>
        <v>8</v>
      </c>
    </row>
    <row r="27" spans="1:15" x14ac:dyDescent="0.35">
      <c r="B27" s="26" t="s">
        <v>60</v>
      </c>
      <c r="C27" s="26"/>
      <c r="D27" s="26">
        <f t="shared" ref="D27:O27" si="1">+D25-D26</f>
        <v>47</v>
      </c>
      <c r="E27" s="26">
        <f t="shared" si="1"/>
        <v>47</v>
      </c>
      <c r="F27" s="26">
        <f t="shared" si="1"/>
        <v>47</v>
      </c>
      <c r="G27" s="26">
        <f t="shared" si="1"/>
        <v>47</v>
      </c>
      <c r="H27" s="26">
        <f t="shared" si="1"/>
        <v>47</v>
      </c>
      <c r="I27" s="26">
        <f t="shared" si="1"/>
        <v>47</v>
      </c>
      <c r="J27" s="26">
        <f t="shared" si="1"/>
        <v>47</v>
      </c>
      <c r="K27" s="26">
        <f t="shared" si="1"/>
        <v>47</v>
      </c>
      <c r="L27" s="26">
        <f t="shared" si="1"/>
        <v>47</v>
      </c>
      <c r="M27" s="26">
        <f t="shared" si="1"/>
        <v>47</v>
      </c>
      <c r="N27" s="26">
        <f t="shared" si="1"/>
        <v>47</v>
      </c>
      <c r="O27" s="26">
        <f t="shared" si="1"/>
        <v>47</v>
      </c>
    </row>
    <row r="28" spans="1:15" x14ac:dyDescent="0.35">
      <c r="B28" s="26" t="s">
        <v>59</v>
      </c>
      <c r="C28" s="26"/>
      <c r="D28" s="29">
        <f>+(C24-O24)/12</f>
        <v>16.36097592305094</v>
      </c>
      <c r="E28" s="29">
        <f t="shared" ref="E28:O28" si="2">+D28</f>
        <v>16.36097592305094</v>
      </c>
      <c r="F28" s="29">
        <f t="shared" si="2"/>
        <v>16.36097592305094</v>
      </c>
      <c r="G28" s="29">
        <f t="shared" si="2"/>
        <v>16.36097592305094</v>
      </c>
      <c r="H28" s="29">
        <f t="shared" si="2"/>
        <v>16.36097592305094</v>
      </c>
      <c r="I28" s="29">
        <f t="shared" si="2"/>
        <v>16.36097592305094</v>
      </c>
      <c r="J28" s="29">
        <f t="shared" si="2"/>
        <v>16.36097592305094</v>
      </c>
      <c r="K28" s="29">
        <f t="shared" si="2"/>
        <v>16.36097592305094</v>
      </c>
      <c r="L28" s="29">
        <f t="shared" si="2"/>
        <v>16.36097592305094</v>
      </c>
      <c r="M28" s="29">
        <f t="shared" si="2"/>
        <v>16.36097592305094</v>
      </c>
      <c r="N28" s="29">
        <f t="shared" si="2"/>
        <v>16.36097592305094</v>
      </c>
      <c r="O28" s="29">
        <f t="shared" si="2"/>
        <v>16.36097592305094</v>
      </c>
    </row>
    <row r="29" spans="1:15" x14ac:dyDescent="0.35">
      <c r="B29" s="26" t="s">
        <v>17</v>
      </c>
      <c r="C29" s="26"/>
      <c r="D29" s="29">
        <f t="shared" ref="D29:O29" si="3">+D27-D28</f>
        <v>30.63902407694906</v>
      </c>
      <c r="E29" s="29">
        <f t="shared" si="3"/>
        <v>30.63902407694906</v>
      </c>
      <c r="F29" s="29">
        <f t="shared" si="3"/>
        <v>30.63902407694906</v>
      </c>
      <c r="G29" s="29">
        <f t="shared" si="3"/>
        <v>30.63902407694906</v>
      </c>
      <c r="H29" s="29">
        <f t="shared" si="3"/>
        <v>30.63902407694906</v>
      </c>
      <c r="I29" s="29">
        <f t="shared" si="3"/>
        <v>30.63902407694906</v>
      </c>
      <c r="J29" s="29">
        <f t="shared" si="3"/>
        <v>30.63902407694906</v>
      </c>
      <c r="K29" s="29">
        <f t="shared" si="3"/>
        <v>30.63902407694906</v>
      </c>
      <c r="L29" s="29">
        <f t="shared" si="3"/>
        <v>30.63902407694906</v>
      </c>
      <c r="M29" s="29">
        <f t="shared" si="3"/>
        <v>30.63902407694906</v>
      </c>
      <c r="N29" s="29">
        <f t="shared" si="3"/>
        <v>30.63902407694906</v>
      </c>
      <c r="O29" s="29">
        <f t="shared" si="3"/>
        <v>30.63902407694906</v>
      </c>
    </row>
    <row r="30" spans="1:15" x14ac:dyDescent="0.35">
      <c r="B30" s="26" t="s">
        <v>21</v>
      </c>
      <c r="C30" s="26"/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0</v>
      </c>
      <c r="N30" s="26">
        <v>0</v>
      </c>
      <c r="O30" s="26">
        <v>0</v>
      </c>
    </row>
    <row r="31" spans="1:15" x14ac:dyDescent="0.35">
      <c r="B31" s="26" t="s">
        <v>17</v>
      </c>
      <c r="C31" s="26"/>
      <c r="D31" s="29">
        <f t="shared" ref="D31:O31" si="4">+D29-D30</f>
        <v>30.63902407694906</v>
      </c>
      <c r="E31" s="29">
        <f t="shared" si="4"/>
        <v>30.63902407694906</v>
      </c>
      <c r="F31" s="29">
        <f t="shared" si="4"/>
        <v>30.63902407694906</v>
      </c>
      <c r="G31" s="29">
        <f t="shared" si="4"/>
        <v>30.63902407694906</v>
      </c>
      <c r="H31" s="29">
        <f t="shared" si="4"/>
        <v>30.63902407694906</v>
      </c>
      <c r="I31" s="29">
        <f t="shared" si="4"/>
        <v>30.63902407694906</v>
      </c>
      <c r="J31" s="29">
        <f t="shared" si="4"/>
        <v>30.63902407694906</v>
      </c>
      <c r="K31" s="29">
        <f t="shared" si="4"/>
        <v>30.63902407694906</v>
      </c>
      <c r="L31" s="29">
        <f t="shared" si="4"/>
        <v>30.63902407694906</v>
      </c>
      <c r="M31" s="29">
        <f t="shared" si="4"/>
        <v>30.63902407694906</v>
      </c>
      <c r="N31" s="29">
        <f t="shared" si="4"/>
        <v>30.63902407694906</v>
      </c>
      <c r="O31" s="29">
        <f t="shared" si="4"/>
        <v>30.63902407694906</v>
      </c>
    </row>
    <row r="32" spans="1:15" x14ac:dyDescent="0.35">
      <c r="B32" s="26" t="s">
        <v>48</v>
      </c>
      <c r="C32" s="26"/>
      <c r="D32" s="31">
        <f t="shared" ref="D32:O32" si="5">IF( D31&lt;=0, 0,0.3*D31)</f>
        <v>9.1917072230847179</v>
      </c>
      <c r="E32" s="31">
        <f t="shared" si="5"/>
        <v>9.1917072230847179</v>
      </c>
      <c r="F32" s="31">
        <f t="shared" si="5"/>
        <v>9.1917072230847179</v>
      </c>
      <c r="G32" s="31">
        <f t="shared" si="5"/>
        <v>9.1917072230847179</v>
      </c>
      <c r="H32" s="31">
        <f t="shared" si="5"/>
        <v>9.1917072230847179</v>
      </c>
      <c r="I32" s="31">
        <f t="shared" si="5"/>
        <v>9.1917072230847179</v>
      </c>
      <c r="J32" s="31">
        <f t="shared" si="5"/>
        <v>9.1917072230847179</v>
      </c>
      <c r="K32" s="31">
        <f t="shared" si="5"/>
        <v>9.1917072230847179</v>
      </c>
      <c r="L32" s="31">
        <f t="shared" si="5"/>
        <v>9.1917072230847179</v>
      </c>
      <c r="M32" s="31">
        <f t="shared" si="5"/>
        <v>9.1917072230847179</v>
      </c>
      <c r="N32" s="31">
        <f t="shared" si="5"/>
        <v>9.1917072230847179</v>
      </c>
      <c r="O32" s="31">
        <f t="shared" si="5"/>
        <v>9.1917072230847179</v>
      </c>
    </row>
    <row r="33" spans="1:15" x14ac:dyDescent="0.35">
      <c r="B33" s="26" t="s">
        <v>18</v>
      </c>
      <c r="C33" s="26"/>
      <c r="D33" s="29">
        <f t="shared" ref="D33:O33" si="6">+D31-D32</f>
        <v>21.447316853864343</v>
      </c>
      <c r="E33" s="29">
        <f t="shared" si="6"/>
        <v>21.447316853864343</v>
      </c>
      <c r="F33" s="29">
        <f t="shared" si="6"/>
        <v>21.447316853864343</v>
      </c>
      <c r="G33" s="29">
        <f t="shared" si="6"/>
        <v>21.447316853864343</v>
      </c>
      <c r="H33" s="29">
        <f t="shared" si="6"/>
        <v>21.447316853864343</v>
      </c>
      <c r="I33" s="29">
        <f t="shared" si="6"/>
        <v>21.447316853864343</v>
      </c>
      <c r="J33" s="29">
        <f t="shared" si="6"/>
        <v>21.447316853864343</v>
      </c>
      <c r="K33" s="29">
        <f t="shared" si="6"/>
        <v>21.447316853864343</v>
      </c>
      <c r="L33" s="29">
        <f t="shared" si="6"/>
        <v>21.447316853864343</v>
      </c>
      <c r="M33" s="29">
        <f t="shared" si="6"/>
        <v>21.447316853864343</v>
      </c>
      <c r="N33" s="29">
        <f t="shared" si="6"/>
        <v>21.447316853864343</v>
      </c>
      <c r="O33" s="29">
        <f t="shared" si="6"/>
        <v>21.447316853864343</v>
      </c>
    </row>
    <row r="34" spans="1:15" x14ac:dyDescent="0.35">
      <c r="B34" s="24" t="s">
        <v>24</v>
      </c>
      <c r="C34" s="23">
        <f>-C24</f>
        <v>-196.3317110766113</v>
      </c>
      <c r="D34" s="23">
        <f t="shared" ref="D34:O34" si="7">+D33+D28</f>
        <v>37.80829277691528</v>
      </c>
      <c r="E34" s="23">
        <f t="shared" si="7"/>
        <v>37.80829277691528</v>
      </c>
      <c r="F34" s="23">
        <f t="shared" si="7"/>
        <v>37.80829277691528</v>
      </c>
      <c r="G34" s="23">
        <f t="shared" si="7"/>
        <v>37.80829277691528</v>
      </c>
      <c r="H34" s="23">
        <f t="shared" si="7"/>
        <v>37.80829277691528</v>
      </c>
      <c r="I34" s="23">
        <f t="shared" si="7"/>
        <v>37.80829277691528</v>
      </c>
      <c r="J34" s="23">
        <f t="shared" si="7"/>
        <v>37.80829277691528</v>
      </c>
      <c r="K34" s="23">
        <f t="shared" si="7"/>
        <v>37.80829277691528</v>
      </c>
      <c r="L34" s="23">
        <f t="shared" si="7"/>
        <v>37.80829277691528</v>
      </c>
      <c r="M34" s="23">
        <f t="shared" si="7"/>
        <v>37.80829277691528</v>
      </c>
      <c r="N34" s="23">
        <f t="shared" si="7"/>
        <v>37.80829277691528</v>
      </c>
      <c r="O34" s="23">
        <f t="shared" si="7"/>
        <v>37.80829277691528</v>
      </c>
    </row>
    <row r="35" spans="1:15" x14ac:dyDescent="0.35">
      <c r="B35" s="30" t="s">
        <v>64</v>
      </c>
      <c r="C35" s="19">
        <f>NPV(10%,D34:O34)</f>
        <v>257.61405533174172</v>
      </c>
    </row>
    <row r="36" spans="1:15" ht="15" thickBot="1" x14ac:dyDescent="0.4">
      <c r="B36" s="18" t="s">
        <v>63</v>
      </c>
      <c r="C36" s="19">
        <f>+C35+C34</f>
        <v>61.282344255130425</v>
      </c>
    </row>
    <row r="37" spans="1:15" ht="15" thickBot="1" x14ac:dyDescent="0.4">
      <c r="B37" s="18" t="s">
        <v>62</v>
      </c>
      <c r="C37" s="63">
        <f>-PMT(10%,12,C36)</f>
        <v>8.9939999999999909</v>
      </c>
    </row>
    <row r="41" spans="1:15" x14ac:dyDescent="0.35">
      <c r="A41" s="61" t="s">
        <v>143</v>
      </c>
    </row>
    <row r="43" spans="1:15" x14ac:dyDescent="0.35">
      <c r="B43" s="26"/>
      <c r="C43" s="26">
        <v>0</v>
      </c>
      <c r="D43" s="26">
        <v>1</v>
      </c>
    </row>
    <row r="44" spans="1:15" x14ac:dyDescent="0.35">
      <c r="B44" s="26" t="s">
        <v>4</v>
      </c>
      <c r="C44" s="29" t="s">
        <v>49</v>
      </c>
      <c r="D44" s="26"/>
    </row>
    <row r="45" spans="1:15" x14ac:dyDescent="0.35">
      <c r="B45" s="26" t="s">
        <v>14</v>
      </c>
      <c r="C45" s="26"/>
      <c r="D45" s="26">
        <v>55</v>
      </c>
    </row>
    <row r="46" spans="1:15" x14ac:dyDescent="0.35">
      <c r="B46" s="26" t="s">
        <v>20</v>
      </c>
      <c r="C46" s="26"/>
      <c r="D46" s="26">
        <v>8</v>
      </c>
    </row>
    <row r="47" spans="1:15" x14ac:dyDescent="0.35">
      <c r="B47" s="26" t="s">
        <v>60</v>
      </c>
      <c r="C47" s="26"/>
      <c r="D47" s="26">
        <f>+D45-D46</f>
        <v>47</v>
      </c>
    </row>
    <row r="48" spans="1:15" x14ac:dyDescent="0.35">
      <c r="B48" s="26" t="s">
        <v>59</v>
      </c>
      <c r="C48" s="26"/>
      <c r="D48" s="25" t="s">
        <v>58</v>
      </c>
    </row>
    <row r="49" spans="2:9" x14ac:dyDescent="0.35">
      <c r="B49" s="26" t="s">
        <v>17</v>
      </c>
      <c r="C49" s="26"/>
      <c r="D49" s="25" t="s">
        <v>57</v>
      </c>
    </row>
    <row r="50" spans="2:9" x14ac:dyDescent="0.35">
      <c r="B50" s="26" t="s">
        <v>21</v>
      </c>
      <c r="C50" s="26"/>
      <c r="D50" s="28">
        <v>0</v>
      </c>
    </row>
    <row r="51" spans="2:9" x14ac:dyDescent="0.35">
      <c r="B51" s="26" t="s">
        <v>17</v>
      </c>
      <c r="C51" s="26"/>
      <c r="D51" s="25" t="s">
        <v>57</v>
      </c>
    </row>
    <row r="52" spans="2:9" x14ac:dyDescent="0.35">
      <c r="B52" s="26" t="s">
        <v>48</v>
      </c>
      <c r="C52" s="26"/>
      <c r="D52" s="27" t="s">
        <v>56</v>
      </c>
    </row>
    <row r="53" spans="2:9" x14ac:dyDescent="0.35">
      <c r="B53" s="26" t="s">
        <v>18</v>
      </c>
      <c r="C53" s="26"/>
      <c r="D53" s="25" t="s">
        <v>55</v>
      </c>
    </row>
    <row r="54" spans="2:9" x14ac:dyDescent="0.35">
      <c r="B54" s="24" t="s">
        <v>24</v>
      </c>
      <c r="C54" s="23" t="s">
        <v>49</v>
      </c>
      <c r="D54" s="23" t="s">
        <v>54</v>
      </c>
    </row>
    <row r="56" spans="2:9" x14ac:dyDescent="0.35">
      <c r="B56" s="18" t="s">
        <v>42</v>
      </c>
      <c r="C56" s="22">
        <f>+((1+10%)^12-1)/((1+10%)^12*10%)</f>
        <v>6.8136918228964332</v>
      </c>
      <c r="D56" s="21" t="s">
        <v>53</v>
      </c>
      <c r="H56" s="18">
        <f>+C56*32.9</f>
        <v>224.17046097329265</v>
      </c>
    </row>
    <row r="57" spans="2:9" x14ac:dyDescent="0.35">
      <c r="B57" s="18" t="s">
        <v>22</v>
      </c>
      <c r="C57" s="61" t="s">
        <v>133</v>
      </c>
      <c r="H57" s="18">
        <f>+C56*0.3/12</f>
        <v>0.17034229557241085</v>
      </c>
    </row>
    <row r="58" spans="2:9" x14ac:dyDescent="0.35">
      <c r="B58" s="18" t="s">
        <v>22</v>
      </c>
      <c r="C58" s="61" t="s">
        <v>134</v>
      </c>
      <c r="H58" s="18">
        <f>1-H57</f>
        <v>0.82965770442758913</v>
      </c>
    </row>
    <row r="60" spans="2:9" x14ac:dyDescent="0.35">
      <c r="B60" s="18" t="s">
        <v>52</v>
      </c>
      <c r="C60" s="20">
        <f>+((1+10%)^12*10%)/((1+10%)^12-1)</f>
        <v>0.14676331510028726</v>
      </c>
      <c r="D60" s="18" t="s">
        <v>51</v>
      </c>
      <c r="H60" s="18">
        <f>+C60*H56</f>
        <v>32.9</v>
      </c>
      <c r="I60" s="18">
        <f>+C60*H58</f>
        <v>0.12176331510028725</v>
      </c>
    </row>
    <row r="61" spans="2:9" x14ac:dyDescent="0.35">
      <c r="B61" s="18" t="s">
        <v>50</v>
      </c>
      <c r="F61" s="62">
        <f>+C19</f>
        <v>8.9943115707821537</v>
      </c>
    </row>
    <row r="63" spans="2:9" x14ac:dyDescent="0.35">
      <c r="B63" s="18" t="s">
        <v>49</v>
      </c>
      <c r="C63" s="21">
        <f>+(H60-F61)/I60</f>
        <v>196.32915225352181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2"/>
  <sheetViews>
    <sheetView zoomScale="50" zoomScaleNormal="50" workbookViewId="0">
      <selection activeCell="L30" sqref="L30"/>
    </sheetView>
  </sheetViews>
  <sheetFormatPr baseColWidth="10" defaultRowHeight="14.5" x14ac:dyDescent="0.35"/>
  <cols>
    <col min="1" max="1" width="10.90625" style="34"/>
    <col min="2" max="2" width="16.453125" style="34" customWidth="1"/>
    <col min="3" max="3" width="13" style="34" customWidth="1"/>
    <col min="4" max="4" width="11.1796875" style="34" customWidth="1"/>
    <col min="5" max="5" width="11.81640625" style="34" bestFit="1" customWidth="1"/>
    <col min="6" max="10" width="11" style="34" bestFit="1" customWidth="1"/>
    <col min="11" max="14" width="11.81640625" style="34" bestFit="1" customWidth="1"/>
    <col min="15" max="24" width="10.90625" style="34"/>
    <col min="25" max="25" width="44.08984375" style="34" customWidth="1"/>
    <col min="26" max="16384" width="10.90625" style="34"/>
  </cols>
  <sheetData>
    <row r="1" spans="1:27" x14ac:dyDescent="0.35">
      <c r="B1" s="34" t="s">
        <v>71</v>
      </c>
      <c r="C1" s="34">
        <v>16</v>
      </c>
      <c r="D1" s="34" t="s">
        <v>72</v>
      </c>
      <c r="I1" s="34" t="s">
        <v>37</v>
      </c>
    </row>
    <row r="2" spans="1:27" x14ac:dyDescent="0.35">
      <c r="B2" s="34" t="s">
        <v>73</v>
      </c>
      <c r="C2" s="34">
        <v>845</v>
      </c>
      <c r="D2" s="34" t="s">
        <v>74</v>
      </c>
      <c r="I2" s="34" t="s">
        <v>122</v>
      </c>
      <c r="J2" s="65">
        <v>0.6</v>
      </c>
    </row>
    <row r="3" spans="1:27" x14ac:dyDescent="0.35">
      <c r="B3" s="34" t="s">
        <v>121</v>
      </c>
      <c r="C3" s="34">
        <f>+C1*1000*C2</f>
        <v>13520000</v>
      </c>
      <c r="D3" s="34" t="s">
        <v>78</v>
      </c>
      <c r="I3" s="64" t="s">
        <v>136</v>
      </c>
      <c r="J3" s="57">
        <f>+AA19</f>
        <v>0.06</v>
      </c>
    </row>
    <row r="4" spans="1:27" x14ac:dyDescent="0.35">
      <c r="B4" s="34" t="s">
        <v>75</v>
      </c>
      <c r="C4" s="34">
        <v>1350000</v>
      </c>
      <c r="D4" s="34" t="s">
        <v>76</v>
      </c>
    </row>
    <row r="5" spans="1:27" x14ac:dyDescent="0.35">
      <c r="B5" s="34" t="s">
        <v>77</v>
      </c>
      <c r="C5" s="34">
        <v>1850000</v>
      </c>
      <c r="D5" s="34" t="s">
        <v>78</v>
      </c>
    </row>
    <row r="6" spans="1:27" x14ac:dyDescent="0.35">
      <c r="B6" s="64" t="s">
        <v>135</v>
      </c>
      <c r="C6" s="57">
        <v>0.4</v>
      </c>
    </row>
    <row r="7" spans="1:27" x14ac:dyDescent="0.35">
      <c r="B7" s="34" t="s">
        <v>79</v>
      </c>
      <c r="C7" s="34">
        <f>+C1*8760*C6*1000</f>
        <v>56064000</v>
      </c>
      <c r="D7" s="34" t="s">
        <v>80</v>
      </c>
    </row>
    <row r="8" spans="1:27" x14ac:dyDescent="0.35">
      <c r="B8" s="34" t="s">
        <v>81</v>
      </c>
      <c r="C8" s="35">
        <v>40.896932060923632</v>
      </c>
      <c r="D8" s="34" t="s">
        <v>82</v>
      </c>
      <c r="F8" s="64" t="s">
        <v>137</v>
      </c>
      <c r="H8" s="57">
        <v>0</v>
      </c>
      <c r="Y8" s="37" t="s">
        <v>84</v>
      </c>
      <c r="Z8" s="37" t="s">
        <v>85</v>
      </c>
      <c r="AA8" s="38">
        <v>3.15E-2</v>
      </c>
    </row>
    <row r="9" spans="1:27" x14ac:dyDescent="0.35">
      <c r="B9" s="34" t="s">
        <v>83</v>
      </c>
      <c r="C9" s="34">
        <v>553280</v>
      </c>
      <c r="D9" s="34" t="s">
        <v>78</v>
      </c>
      <c r="F9" s="64" t="s">
        <v>138</v>
      </c>
      <c r="H9" s="57">
        <v>0</v>
      </c>
      <c r="Y9" s="37"/>
      <c r="Z9" s="37"/>
      <c r="AA9" s="38"/>
    </row>
    <row r="10" spans="1:27" x14ac:dyDescent="0.35">
      <c r="B10" s="34" t="s">
        <v>45</v>
      </c>
      <c r="C10" s="36">
        <f>+AA16</f>
        <v>8.634E-2</v>
      </c>
      <c r="Y10" s="37"/>
      <c r="Z10" s="37"/>
      <c r="AA10" s="38"/>
    </row>
    <row r="11" spans="1:27" x14ac:dyDescent="0.35">
      <c r="C11" s="36"/>
      <c r="Y11" s="37"/>
      <c r="Z11" s="37"/>
      <c r="AA11" s="38"/>
    </row>
    <row r="12" spans="1:27" x14ac:dyDescent="0.35">
      <c r="A12" s="39"/>
      <c r="B12" s="39">
        <v>0</v>
      </c>
      <c r="C12" s="39">
        <v>1</v>
      </c>
      <c r="D12" s="39">
        <v>2</v>
      </c>
      <c r="E12" s="39">
        <v>3</v>
      </c>
      <c r="F12" s="39">
        <v>4</v>
      </c>
      <c r="G12" s="39">
        <v>5</v>
      </c>
      <c r="H12" s="39">
        <v>6</v>
      </c>
      <c r="I12" s="39">
        <v>7</v>
      </c>
      <c r="J12" s="39">
        <v>8</v>
      </c>
      <c r="K12" s="39">
        <v>9</v>
      </c>
      <c r="L12" s="39">
        <v>10</v>
      </c>
      <c r="M12" s="39">
        <v>11</v>
      </c>
      <c r="N12" s="39">
        <v>12</v>
      </c>
      <c r="O12" s="39">
        <v>13</v>
      </c>
      <c r="P12" s="39">
        <v>14</v>
      </c>
      <c r="Q12" s="39">
        <v>15</v>
      </c>
      <c r="R12" s="39">
        <v>16</v>
      </c>
      <c r="S12" s="39">
        <v>17</v>
      </c>
      <c r="T12" s="39">
        <v>18</v>
      </c>
      <c r="U12" s="39">
        <v>19</v>
      </c>
      <c r="V12" s="39">
        <v>20</v>
      </c>
      <c r="Y12" s="37" t="s">
        <v>86</v>
      </c>
      <c r="Z12" s="37" t="s">
        <v>87</v>
      </c>
      <c r="AA12" s="38">
        <v>3.0700000000000002E-2</v>
      </c>
    </row>
    <row r="13" spans="1:27" x14ac:dyDescent="0.35">
      <c r="A13" s="39" t="s">
        <v>4</v>
      </c>
      <c r="B13" s="40">
        <f>+C3+C4+C5</f>
        <v>16720000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Y13" s="37" t="s">
        <v>88</v>
      </c>
      <c r="Z13" s="41" t="s">
        <v>89</v>
      </c>
      <c r="AA13" s="37">
        <v>1.2</v>
      </c>
    </row>
    <row r="14" spans="1:27" x14ac:dyDescent="0.35">
      <c r="A14" s="39" t="s">
        <v>37</v>
      </c>
      <c r="B14" s="40">
        <f>+B13*J2</f>
        <v>10032000</v>
      </c>
      <c r="C14" s="39">
        <f>+C38</f>
        <v>0</v>
      </c>
      <c r="D14" s="39">
        <f t="shared" ref="D14:K14" si="0">+D38</f>
        <v>0</v>
      </c>
      <c r="E14" s="39">
        <f t="shared" si="0"/>
        <v>0</v>
      </c>
      <c r="F14" s="39">
        <f t="shared" si="0"/>
        <v>0</v>
      </c>
      <c r="G14" s="39">
        <f t="shared" si="0"/>
        <v>0</v>
      </c>
      <c r="H14" s="39">
        <f t="shared" si="0"/>
        <v>0</v>
      </c>
      <c r="I14" s="39">
        <f t="shared" si="0"/>
        <v>0</v>
      </c>
      <c r="J14" s="39">
        <f t="shared" si="0"/>
        <v>0</v>
      </c>
      <c r="K14" s="39">
        <f t="shared" si="0"/>
        <v>0</v>
      </c>
      <c r="L14" s="39">
        <f>+L38</f>
        <v>10032000</v>
      </c>
      <c r="M14" s="39"/>
      <c r="N14" s="39"/>
      <c r="O14" s="39"/>
      <c r="P14" s="39"/>
      <c r="Q14" s="39"/>
      <c r="R14" s="39"/>
      <c r="S14" s="39"/>
      <c r="T14" s="39"/>
      <c r="U14" s="39"/>
      <c r="V14" s="39"/>
      <c r="Y14" s="37" t="s">
        <v>90</v>
      </c>
      <c r="Z14" s="41" t="s">
        <v>91</v>
      </c>
      <c r="AA14" s="38">
        <v>1.7999999999999999E-2</v>
      </c>
    </row>
    <row r="15" spans="1:27" x14ac:dyDescent="0.35">
      <c r="A15" s="39" t="s">
        <v>14</v>
      </c>
      <c r="B15" s="39"/>
      <c r="C15" s="42">
        <f>+($C$7*$C$8/1000)*(1+$H$8)^C12</f>
        <v>2292845.5990636223</v>
      </c>
      <c r="D15" s="42">
        <f>+($C$7*$C$8/1000)*(1+$H$8)^D12</f>
        <v>2292845.5990636223</v>
      </c>
      <c r="E15" s="42">
        <f t="shared" ref="E15:V15" si="1">+($C$7*$C$8/1000)*(1+$H$8)^E12</f>
        <v>2292845.5990636223</v>
      </c>
      <c r="F15" s="42">
        <f t="shared" si="1"/>
        <v>2292845.5990636223</v>
      </c>
      <c r="G15" s="42">
        <f t="shared" si="1"/>
        <v>2292845.5990636223</v>
      </c>
      <c r="H15" s="42">
        <f t="shared" si="1"/>
        <v>2292845.5990636223</v>
      </c>
      <c r="I15" s="42">
        <f t="shared" si="1"/>
        <v>2292845.5990636223</v>
      </c>
      <c r="J15" s="42">
        <f t="shared" si="1"/>
        <v>2292845.5990636223</v>
      </c>
      <c r="K15" s="42">
        <f t="shared" si="1"/>
        <v>2292845.5990636223</v>
      </c>
      <c r="L15" s="42">
        <f t="shared" si="1"/>
        <v>2292845.5990636223</v>
      </c>
      <c r="M15" s="42">
        <f t="shared" si="1"/>
        <v>2292845.5990636223</v>
      </c>
      <c r="N15" s="42">
        <f t="shared" si="1"/>
        <v>2292845.5990636223</v>
      </c>
      <c r="O15" s="42">
        <f t="shared" si="1"/>
        <v>2292845.5990636223</v>
      </c>
      <c r="P15" s="42">
        <f t="shared" si="1"/>
        <v>2292845.5990636223</v>
      </c>
      <c r="Q15" s="42">
        <f t="shared" si="1"/>
        <v>2292845.5990636223</v>
      </c>
      <c r="R15" s="42">
        <f t="shared" si="1"/>
        <v>2292845.5990636223</v>
      </c>
      <c r="S15" s="42">
        <f t="shared" si="1"/>
        <v>2292845.5990636223</v>
      </c>
      <c r="T15" s="42">
        <f t="shared" si="1"/>
        <v>2292845.5990636223</v>
      </c>
      <c r="U15" s="42">
        <f t="shared" si="1"/>
        <v>2292845.5990636223</v>
      </c>
      <c r="V15" s="42">
        <f t="shared" si="1"/>
        <v>2292845.5990636223</v>
      </c>
      <c r="Y15" s="37" t="s">
        <v>92</v>
      </c>
      <c r="Z15" s="37" t="s">
        <v>93</v>
      </c>
      <c r="AA15" s="44">
        <v>0.3</v>
      </c>
    </row>
    <row r="16" spans="1:27" x14ac:dyDescent="0.35">
      <c r="A16" s="39" t="s">
        <v>15</v>
      </c>
      <c r="B16" s="39"/>
      <c r="C16" s="39">
        <f>+$C$9*(1+$H$9)^C12</f>
        <v>553280</v>
      </c>
      <c r="D16" s="39">
        <f>+$C$9*(1+$H$9)^D12</f>
        <v>553280</v>
      </c>
      <c r="E16" s="39">
        <f>+$C$9*(1+$H$9)^E12</f>
        <v>553280</v>
      </c>
      <c r="F16" s="39">
        <f>+$C$9*(1+$H$9)^F12</f>
        <v>553280</v>
      </c>
      <c r="G16" s="39">
        <f>+$C$9*(1+$H$9)^G12</f>
        <v>553280</v>
      </c>
      <c r="H16" s="39">
        <f>+$C$9*(1+$H$9)^H12</f>
        <v>553280</v>
      </c>
      <c r="I16" s="39">
        <f>+$C$9*(1+$H$9)^I12</f>
        <v>553280</v>
      </c>
      <c r="J16" s="39">
        <f>+$C$9*(1+$H$9)^J12</f>
        <v>553280</v>
      </c>
      <c r="K16" s="39">
        <f>+$C$9*(1+$H$9)^K12</f>
        <v>553280</v>
      </c>
      <c r="L16" s="39">
        <f>+$C$9*(1+$H$9)^L12</f>
        <v>553280</v>
      </c>
      <c r="M16" s="39">
        <f>+$C$9*(1+$H$9)^M12</f>
        <v>553280</v>
      </c>
      <c r="N16" s="39">
        <f>+$C$9*(1+$H$9)^N12</f>
        <v>553280</v>
      </c>
      <c r="O16" s="39">
        <f>+$C$9*(1+$H$9)^O12</f>
        <v>553280</v>
      </c>
      <c r="P16" s="39">
        <f>+$C$9*(1+$H$9)^P12</f>
        <v>553280</v>
      </c>
      <c r="Q16" s="39">
        <f>+$C$9*(1+$H$9)^Q12</f>
        <v>553280</v>
      </c>
      <c r="R16" s="39">
        <f>+$C$9*(1+$H$9)^R12</f>
        <v>553280</v>
      </c>
      <c r="S16" s="39">
        <f>+$C$9*(1+$H$9)^S12</f>
        <v>553280</v>
      </c>
      <c r="T16" s="39">
        <f>+$C$9*(1+$H$9)^T12</f>
        <v>553280</v>
      </c>
      <c r="U16" s="39">
        <f>+$C$9*(1+$H$9)^U12</f>
        <v>553280</v>
      </c>
      <c r="V16" s="39">
        <f>+$C$9*(1+$H$9)^V12</f>
        <v>553280</v>
      </c>
      <c r="Y16" s="45" t="s">
        <v>94</v>
      </c>
      <c r="Z16" s="45" t="s">
        <v>95</v>
      </c>
      <c r="AA16" s="46">
        <f>+AA8+AA13*AA12+AA14</f>
        <v>8.634E-2</v>
      </c>
    </row>
    <row r="17" spans="1:27" x14ac:dyDescent="0.35">
      <c r="A17" s="39" t="s">
        <v>60</v>
      </c>
      <c r="B17" s="39"/>
      <c r="C17" s="40">
        <f>+C15-C16</f>
        <v>1739565.5990636223</v>
      </c>
      <c r="D17" s="39">
        <f t="shared" ref="D17:V17" si="2">+D15-D16</f>
        <v>1739565.5990636223</v>
      </c>
      <c r="E17" s="39">
        <f t="shared" si="2"/>
        <v>1739565.5990636223</v>
      </c>
      <c r="F17" s="39">
        <f t="shared" si="2"/>
        <v>1739565.5990636223</v>
      </c>
      <c r="G17" s="39">
        <f t="shared" si="2"/>
        <v>1739565.5990636223</v>
      </c>
      <c r="H17" s="39">
        <f t="shared" si="2"/>
        <v>1739565.5990636223</v>
      </c>
      <c r="I17" s="39">
        <f t="shared" si="2"/>
        <v>1739565.5990636223</v>
      </c>
      <c r="J17" s="39">
        <f t="shared" si="2"/>
        <v>1739565.5990636223</v>
      </c>
      <c r="K17" s="39">
        <f t="shared" si="2"/>
        <v>1739565.5990636223</v>
      </c>
      <c r="L17" s="39">
        <f t="shared" si="2"/>
        <v>1739565.5990636223</v>
      </c>
      <c r="M17" s="39">
        <f t="shared" si="2"/>
        <v>1739565.5990636223</v>
      </c>
      <c r="N17" s="39">
        <f t="shared" si="2"/>
        <v>1739565.5990636223</v>
      </c>
      <c r="O17" s="39">
        <f t="shared" si="2"/>
        <v>1739565.5990636223</v>
      </c>
      <c r="P17" s="39">
        <f t="shared" si="2"/>
        <v>1739565.5990636223</v>
      </c>
      <c r="Q17" s="39">
        <f t="shared" si="2"/>
        <v>1739565.5990636223</v>
      </c>
      <c r="R17" s="39">
        <f t="shared" si="2"/>
        <v>1739565.5990636223</v>
      </c>
      <c r="S17" s="39">
        <f t="shared" si="2"/>
        <v>1739565.5990636223</v>
      </c>
      <c r="T17" s="39">
        <f t="shared" si="2"/>
        <v>1739565.5990636223</v>
      </c>
      <c r="U17" s="39">
        <f t="shared" si="2"/>
        <v>1739565.5990636223</v>
      </c>
      <c r="V17" s="39">
        <f t="shared" si="2"/>
        <v>1739565.5990636223</v>
      </c>
      <c r="Y17" s="47" t="s">
        <v>96</v>
      </c>
      <c r="Z17" s="47"/>
      <c r="AA17" s="47"/>
    </row>
    <row r="18" spans="1:27" x14ac:dyDescent="0.35">
      <c r="A18" s="39" t="s">
        <v>97</v>
      </c>
      <c r="B18" s="39"/>
      <c r="C18" s="43">
        <f>+C45+C53+C60</f>
        <v>881000</v>
      </c>
      <c r="D18" s="43">
        <f t="shared" ref="D18:V18" si="3">+D45++D53+D60</f>
        <v>881000</v>
      </c>
      <c r="E18" s="43">
        <f t="shared" si="3"/>
        <v>881000</v>
      </c>
      <c r="F18" s="43">
        <f t="shared" si="3"/>
        <v>881000</v>
      </c>
      <c r="G18" s="43">
        <f t="shared" si="3"/>
        <v>881000</v>
      </c>
      <c r="H18" s="43">
        <f t="shared" si="3"/>
        <v>881000</v>
      </c>
      <c r="I18" s="43">
        <f t="shared" si="3"/>
        <v>881000</v>
      </c>
      <c r="J18" s="43">
        <f t="shared" si="3"/>
        <v>881000</v>
      </c>
      <c r="K18" s="43">
        <f t="shared" si="3"/>
        <v>881000</v>
      </c>
      <c r="L18" s="43">
        <f t="shared" si="3"/>
        <v>881000</v>
      </c>
      <c r="M18" s="43">
        <f t="shared" si="3"/>
        <v>881000</v>
      </c>
      <c r="N18" s="43">
        <f t="shared" si="3"/>
        <v>881000</v>
      </c>
      <c r="O18" s="43">
        <f t="shared" si="3"/>
        <v>768500</v>
      </c>
      <c r="P18" s="43">
        <f t="shared" si="3"/>
        <v>768500</v>
      </c>
      <c r="Q18" s="43">
        <f t="shared" si="3"/>
        <v>768500</v>
      </c>
      <c r="R18" s="43">
        <f t="shared" si="3"/>
        <v>768500</v>
      </c>
      <c r="S18" s="43">
        <f t="shared" si="3"/>
        <v>768500</v>
      </c>
      <c r="T18" s="43">
        <f t="shared" si="3"/>
        <v>768500</v>
      </c>
      <c r="U18" s="43">
        <f t="shared" si="3"/>
        <v>768500</v>
      </c>
      <c r="V18" s="43">
        <f t="shared" si="3"/>
        <v>768500</v>
      </c>
      <c r="Y18" s="45" t="s">
        <v>98</v>
      </c>
      <c r="Z18" s="45" t="s">
        <v>99</v>
      </c>
      <c r="AA18" s="46">
        <f>+AA19*(1-AA15)</f>
        <v>4.1999999999999996E-2</v>
      </c>
    </row>
    <row r="19" spans="1:27" x14ac:dyDescent="0.35">
      <c r="A19" s="39" t="s">
        <v>17</v>
      </c>
      <c r="B19" s="39"/>
      <c r="C19" s="43">
        <f>+C17-C18</f>
        <v>858565.5990636223</v>
      </c>
      <c r="D19" s="43">
        <f t="shared" ref="D19:V19" si="4">+D17-D18</f>
        <v>858565.5990636223</v>
      </c>
      <c r="E19" s="43">
        <f t="shared" si="4"/>
        <v>858565.5990636223</v>
      </c>
      <c r="F19" s="43">
        <f t="shared" si="4"/>
        <v>858565.5990636223</v>
      </c>
      <c r="G19" s="43">
        <f t="shared" si="4"/>
        <v>858565.5990636223</v>
      </c>
      <c r="H19" s="43">
        <f t="shared" si="4"/>
        <v>858565.5990636223</v>
      </c>
      <c r="I19" s="43">
        <f t="shared" si="4"/>
        <v>858565.5990636223</v>
      </c>
      <c r="J19" s="43">
        <f t="shared" si="4"/>
        <v>858565.5990636223</v>
      </c>
      <c r="K19" s="43">
        <f t="shared" si="4"/>
        <v>858565.5990636223</v>
      </c>
      <c r="L19" s="43">
        <f t="shared" si="4"/>
        <v>858565.5990636223</v>
      </c>
      <c r="M19" s="43">
        <f t="shared" si="4"/>
        <v>858565.5990636223</v>
      </c>
      <c r="N19" s="43">
        <f t="shared" si="4"/>
        <v>858565.5990636223</v>
      </c>
      <c r="O19" s="43">
        <f t="shared" si="4"/>
        <v>971065.5990636223</v>
      </c>
      <c r="P19" s="43">
        <f t="shared" si="4"/>
        <v>971065.5990636223</v>
      </c>
      <c r="Q19" s="43">
        <f t="shared" si="4"/>
        <v>971065.5990636223</v>
      </c>
      <c r="R19" s="43">
        <f t="shared" si="4"/>
        <v>971065.5990636223</v>
      </c>
      <c r="S19" s="43">
        <f t="shared" si="4"/>
        <v>971065.5990636223</v>
      </c>
      <c r="T19" s="43">
        <f t="shared" si="4"/>
        <v>971065.5990636223</v>
      </c>
      <c r="U19" s="43">
        <f t="shared" si="4"/>
        <v>971065.5990636223</v>
      </c>
      <c r="V19" s="43">
        <f t="shared" si="4"/>
        <v>971065.5990636223</v>
      </c>
      <c r="Y19" s="47" t="s">
        <v>100</v>
      </c>
      <c r="Z19" s="47" t="s">
        <v>101</v>
      </c>
      <c r="AA19" s="48">
        <v>0.06</v>
      </c>
    </row>
    <row r="20" spans="1:27" x14ac:dyDescent="0.35">
      <c r="A20" s="39" t="s">
        <v>21</v>
      </c>
      <c r="B20" s="39"/>
      <c r="C20" s="43">
        <f>+C37</f>
        <v>601920</v>
      </c>
      <c r="D20" s="43">
        <f t="shared" ref="D20:L20" si="5">+D37</f>
        <v>601920</v>
      </c>
      <c r="E20" s="43">
        <f t="shared" si="5"/>
        <v>601920</v>
      </c>
      <c r="F20" s="43">
        <f t="shared" si="5"/>
        <v>601920</v>
      </c>
      <c r="G20" s="43">
        <f t="shared" si="5"/>
        <v>601920</v>
      </c>
      <c r="H20" s="43">
        <f t="shared" si="5"/>
        <v>601920</v>
      </c>
      <c r="I20" s="43">
        <f t="shared" si="5"/>
        <v>601920</v>
      </c>
      <c r="J20" s="43">
        <f t="shared" si="5"/>
        <v>601920</v>
      </c>
      <c r="K20" s="43">
        <f t="shared" si="5"/>
        <v>601920</v>
      </c>
      <c r="L20" s="43">
        <f t="shared" si="5"/>
        <v>601920</v>
      </c>
      <c r="M20" s="39"/>
      <c r="N20" s="39"/>
      <c r="O20" s="39"/>
      <c r="P20" s="39"/>
      <c r="Q20" s="39"/>
      <c r="R20" s="39"/>
      <c r="S20" s="39"/>
      <c r="T20" s="39"/>
      <c r="U20" s="39"/>
      <c r="V20" s="39"/>
      <c r="Y20" s="45" t="s">
        <v>102</v>
      </c>
      <c r="Z20" s="45" t="s">
        <v>103</v>
      </c>
      <c r="AA20" s="49">
        <f>+AA22*AA16+AA21*AA18</f>
        <v>5.9735999999999997E-2</v>
      </c>
    </row>
    <row r="21" spans="1:27" x14ac:dyDescent="0.35">
      <c r="A21" s="39" t="s">
        <v>41</v>
      </c>
      <c r="B21" s="39"/>
      <c r="C21" s="43">
        <f>+C19-C20</f>
        <v>256645.5990636223</v>
      </c>
      <c r="D21" s="43">
        <f t="shared" ref="D21:V21" si="6">+D19-D20</f>
        <v>256645.5990636223</v>
      </c>
      <c r="E21" s="43">
        <f t="shared" si="6"/>
        <v>256645.5990636223</v>
      </c>
      <c r="F21" s="43">
        <f t="shared" si="6"/>
        <v>256645.5990636223</v>
      </c>
      <c r="G21" s="43">
        <f t="shared" si="6"/>
        <v>256645.5990636223</v>
      </c>
      <c r="H21" s="43">
        <f t="shared" si="6"/>
        <v>256645.5990636223</v>
      </c>
      <c r="I21" s="43">
        <f t="shared" si="6"/>
        <v>256645.5990636223</v>
      </c>
      <c r="J21" s="43">
        <f t="shared" si="6"/>
        <v>256645.5990636223</v>
      </c>
      <c r="K21" s="43">
        <f t="shared" si="6"/>
        <v>256645.5990636223</v>
      </c>
      <c r="L21" s="43">
        <f t="shared" si="6"/>
        <v>256645.5990636223</v>
      </c>
      <c r="M21" s="43">
        <f t="shared" si="6"/>
        <v>858565.5990636223</v>
      </c>
      <c r="N21" s="43">
        <f t="shared" si="6"/>
        <v>858565.5990636223</v>
      </c>
      <c r="O21" s="43">
        <f t="shared" si="6"/>
        <v>971065.5990636223</v>
      </c>
      <c r="P21" s="43">
        <f t="shared" si="6"/>
        <v>971065.5990636223</v>
      </c>
      <c r="Q21" s="43">
        <f t="shared" si="6"/>
        <v>971065.5990636223</v>
      </c>
      <c r="R21" s="43">
        <f t="shared" si="6"/>
        <v>971065.5990636223</v>
      </c>
      <c r="S21" s="43">
        <f t="shared" si="6"/>
        <v>971065.5990636223</v>
      </c>
      <c r="T21" s="43">
        <f t="shared" si="6"/>
        <v>971065.5990636223</v>
      </c>
      <c r="U21" s="43">
        <f t="shared" si="6"/>
        <v>971065.5990636223</v>
      </c>
      <c r="V21" s="43">
        <f t="shared" si="6"/>
        <v>971065.5990636223</v>
      </c>
      <c r="Y21" s="47" t="s">
        <v>104</v>
      </c>
      <c r="Z21" s="47" t="s">
        <v>105</v>
      </c>
      <c r="AA21" s="50">
        <v>0.6</v>
      </c>
    </row>
    <row r="22" spans="1:27" x14ac:dyDescent="0.35">
      <c r="A22" s="39" t="s">
        <v>21</v>
      </c>
      <c r="B22" s="39"/>
      <c r="C22" s="39">
        <f>+IF(C21&lt;0,0,C21*0.3)</f>
        <v>76993.679719086693</v>
      </c>
      <c r="D22" s="39">
        <f t="shared" ref="D22:V22" si="7">+IF(D21&lt;0,0,D21*0.3)</f>
        <v>76993.679719086693</v>
      </c>
      <c r="E22" s="39">
        <f t="shared" si="7"/>
        <v>76993.679719086693</v>
      </c>
      <c r="F22" s="39">
        <f t="shared" si="7"/>
        <v>76993.679719086693</v>
      </c>
      <c r="G22" s="39">
        <f t="shared" si="7"/>
        <v>76993.679719086693</v>
      </c>
      <c r="H22" s="39">
        <f t="shared" si="7"/>
        <v>76993.679719086693</v>
      </c>
      <c r="I22" s="39">
        <f t="shared" si="7"/>
        <v>76993.679719086693</v>
      </c>
      <c r="J22" s="39">
        <f t="shared" si="7"/>
        <v>76993.679719086693</v>
      </c>
      <c r="K22" s="39">
        <f t="shared" si="7"/>
        <v>76993.679719086693</v>
      </c>
      <c r="L22" s="39">
        <f t="shared" si="7"/>
        <v>76993.679719086693</v>
      </c>
      <c r="M22" s="39">
        <f t="shared" si="7"/>
        <v>257569.67971908668</v>
      </c>
      <c r="N22" s="39">
        <f t="shared" si="7"/>
        <v>257569.67971908668</v>
      </c>
      <c r="O22" s="39">
        <f t="shared" si="7"/>
        <v>291319.67971908668</v>
      </c>
      <c r="P22" s="39">
        <f t="shared" si="7"/>
        <v>291319.67971908668</v>
      </c>
      <c r="Q22" s="39">
        <f t="shared" si="7"/>
        <v>291319.67971908668</v>
      </c>
      <c r="R22" s="39">
        <f t="shared" si="7"/>
        <v>291319.67971908668</v>
      </c>
      <c r="S22" s="39">
        <f t="shared" si="7"/>
        <v>291319.67971908668</v>
      </c>
      <c r="T22" s="39">
        <f t="shared" si="7"/>
        <v>291319.67971908668</v>
      </c>
      <c r="U22" s="39">
        <f t="shared" si="7"/>
        <v>291319.67971908668</v>
      </c>
      <c r="V22" s="39">
        <f t="shared" si="7"/>
        <v>291319.67971908668</v>
      </c>
      <c r="Y22" s="47" t="s">
        <v>106</v>
      </c>
      <c r="Z22" s="47" t="s">
        <v>107</v>
      </c>
      <c r="AA22" s="50">
        <v>0.4</v>
      </c>
    </row>
    <row r="23" spans="1:27" x14ac:dyDescent="0.35">
      <c r="A23" s="39" t="s">
        <v>18</v>
      </c>
      <c r="B23" s="39"/>
      <c r="C23" s="43">
        <f>+C21-C22</f>
        <v>179651.91934453562</v>
      </c>
      <c r="D23" s="43">
        <f t="shared" ref="D23:V23" si="8">+D21-D22</f>
        <v>179651.91934453562</v>
      </c>
      <c r="E23" s="43">
        <f t="shared" si="8"/>
        <v>179651.91934453562</v>
      </c>
      <c r="F23" s="43">
        <f t="shared" si="8"/>
        <v>179651.91934453562</v>
      </c>
      <c r="G23" s="43">
        <f t="shared" si="8"/>
        <v>179651.91934453562</v>
      </c>
      <c r="H23" s="43">
        <f t="shared" si="8"/>
        <v>179651.91934453562</v>
      </c>
      <c r="I23" s="43">
        <f t="shared" si="8"/>
        <v>179651.91934453562</v>
      </c>
      <c r="J23" s="43">
        <f t="shared" si="8"/>
        <v>179651.91934453562</v>
      </c>
      <c r="K23" s="43">
        <f t="shared" si="8"/>
        <v>179651.91934453562</v>
      </c>
      <c r="L23" s="43">
        <f t="shared" si="8"/>
        <v>179651.91934453562</v>
      </c>
      <c r="M23" s="43">
        <f t="shared" si="8"/>
        <v>600995.91934453556</v>
      </c>
      <c r="N23" s="43">
        <f t="shared" si="8"/>
        <v>600995.91934453556</v>
      </c>
      <c r="O23" s="43">
        <f t="shared" si="8"/>
        <v>679745.91934453556</v>
      </c>
      <c r="P23" s="43">
        <f t="shared" si="8"/>
        <v>679745.91934453556</v>
      </c>
      <c r="Q23" s="43">
        <f t="shared" si="8"/>
        <v>679745.91934453556</v>
      </c>
      <c r="R23" s="43">
        <f t="shared" si="8"/>
        <v>679745.91934453556</v>
      </c>
      <c r="S23" s="43">
        <f t="shared" si="8"/>
        <v>679745.91934453556</v>
      </c>
      <c r="T23" s="43">
        <f t="shared" si="8"/>
        <v>679745.91934453556</v>
      </c>
      <c r="U23" s="43">
        <f t="shared" si="8"/>
        <v>679745.91934453556</v>
      </c>
      <c r="V23" s="43">
        <f t="shared" si="8"/>
        <v>679745.91934453556</v>
      </c>
    </row>
    <row r="24" spans="1:27" x14ac:dyDescent="0.35">
      <c r="A24" s="39" t="s">
        <v>24</v>
      </c>
      <c r="B24" s="40">
        <f>+B14-B13</f>
        <v>-6688000</v>
      </c>
      <c r="C24" s="43">
        <f>+C23+C18-C14</f>
        <v>1060651.9193445356</v>
      </c>
      <c r="D24" s="43">
        <f t="shared" ref="D24:V24" si="9">+D23+D18-D14</f>
        <v>1060651.9193445356</v>
      </c>
      <c r="E24" s="43">
        <f t="shared" si="9"/>
        <v>1060651.9193445356</v>
      </c>
      <c r="F24" s="43">
        <f t="shared" si="9"/>
        <v>1060651.9193445356</v>
      </c>
      <c r="G24" s="43">
        <f t="shared" si="9"/>
        <v>1060651.9193445356</v>
      </c>
      <c r="H24" s="43">
        <f t="shared" si="9"/>
        <v>1060651.9193445356</v>
      </c>
      <c r="I24" s="43">
        <f t="shared" si="9"/>
        <v>1060651.9193445356</v>
      </c>
      <c r="J24" s="43">
        <f t="shared" si="9"/>
        <v>1060651.9193445356</v>
      </c>
      <c r="K24" s="43">
        <f t="shared" si="9"/>
        <v>1060651.9193445356</v>
      </c>
      <c r="L24" s="43">
        <f t="shared" si="9"/>
        <v>-8971348.0806554649</v>
      </c>
      <c r="M24" s="43">
        <f t="shared" si="9"/>
        <v>1481995.9193445356</v>
      </c>
      <c r="N24" s="43">
        <f t="shared" si="9"/>
        <v>1481995.9193445356</v>
      </c>
      <c r="O24" s="43">
        <f t="shared" si="9"/>
        <v>1448245.9193445356</v>
      </c>
      <c r="P24" s="43">
        <f t="shared" si="9"/>
        <v>1448245.9193445356</v>
      </c>
      <c r="Q24" s="43">
        <f t="shared" si="9"/>
        <v>1448245.9193445356</v>
      </c>
      <c r="R24" s="43">
        <f t="shared" si="9"/>
        <v>1448245.9193445356</v>
      </c>
      <c r="S24" s="43">
        <f t="shared" si="9"/>
        <v>1448245.9193445356</v>
      </c>
      <c r="T24" s="43">
        <f t="shared" si="9"/>
        <v>1448245.9193445356</v>
      </c>
      <c r="U24" s="43">
        <f t="shared" si="9"/>
        <v>1448245.9193445356</v>
      </c>
      <c r="V24" s="43">
        <f t="shared" si="9"/>
        <v>1448245.9193445356</v>
      </c>
    </row>
    <row r="26" spans="1:27" x14ac:dyDescent="0.35">
      <c r="A26" s="34" t="s">
        <v>108</v>
      </c>
      <c r="B26" s="43">
        <f>NPV(C10,C24:V24)</f>
        <v>6687999.9999999963</v>
      </c>
    </row>
    <row r="27" spans="1:27" x14ac:dyDescent="0.35">
      <c r="A27" s="34" t="s">
        <v>22</v>
      </c>
      <c r="B27" s="51">
        <f>+B26+B24</f>
        <v>0</v>
      </c>
      <c r="E27" s="34" t="s">
        <v>109</v>
      </c>
      <c r="G27" s="34" t="s">
        <v>82</v>
      </c>
      <c r="K27" s="64" t="s">
        <v>139</v>
      </c>
      <c r="L27" s="34">
        <v>48.79</v>
      </c>
      <c r="M27" s="64" t="s">
        <v>82</v>
      </c>
    </row>
    <row r="28" spans="1:27" x14ac:dyDescent="0.35">
      <c r="A28" s="34" t="s">
        <v>110</v>
      </c>
      <c r="B28" s="36">
        <f>IRR(B24:V24)</f>
        <v>8.6340000000000083E-2</v>
      </c>
    </row>
    <row r="29" spans="1:27" x14ac:dyDescent="0.35">
      <c r="A29" s="34" t="s">
        <v>111</v>
      </c>
      <c r="B29" s="52">
        <f>+B27/-B24</f>
        <v>0</v>
      </c>
      <c r="K29" s="64" t="s">
        <v>140</v>
      </c>
      <c r="L29" s="34">
        <v>40.9</v>
      </c>
      <c r="M29" s="64" t="s">
        <v>141</v>
      </c>
      <c r="O29" s="64" t="s">
        <v>142</v>
      </c>
    </row>
    <row r="30" spans="1:27" x14ac:dyDescent="0.35">
      <c r="B30" s="53"/>
    </row>
    <row r="33" spans="1:15" x14ac:dyDescent="0.35">
      <c r="A33" s="34" t="s">
        <v>37</v>
      </c>
      <c r="B33" s="54" t="s">
        <v>21</v>
      </c>
      <c r="C33" s="36">
        <f>+J3</f>
        <v>0.06</v>
      </c>
    </row>
    <row r="34" spans="1:15" x14ac:dyDescent="0.35">
      <c r="A34" s="39"/>
      <c r="B34" s="39">
        <v>0</v>
      </c>
      <c r="C34" s="39">
        <v>1</v>
      </c>
      <c r="D34" s="39">
        <v>2</v>
      </c>
      <c r="E34" s="39">
        <v>3</v>
      </c>
      <c r="F34" s="39">
        <v>4</v>
      </c>
      <c r="G34" s="39">
        <v>5</v>
      </c>
      <c r="H34" s="39">
        <v>6</v>
      </c>
      <c r="I34" s="39">
        <v>7</v>
      </c>
      <c r="J34" s="39">
        <v>8</v>
      </c>
      <c r="K34" s="39">
        <v>9</v>
      </c>
      <c r="L34" s="39">
        <v>10</v>
      </c>
    </row>
    <row r="35" spans="1:15" x14ac:dyDescent="0.35">
      <c r="A35" s="39" t="s">
        <v>38</v>
      </c>
      <c r="B35" s="39">
        <f>+B14</f>
        <v>10032000</v>
      </c>
      <c r="C35" s="43"/>
      <c r="D35" s="43"/>
      <c r="E35" s="43"/>
      <c r="F35" s="43"/>
      <c r="G35" s="43"/>
      <c r="H35" s="43"/>
      <c r="I35" s="43"/>
      <c r="J35" s="43"/>
      <c r="K35" s="43"/>
      <c r="L35" s="43"/>
    </row>
    <row r="36" spans="1:15" x14ac:dyDescent="0.35">
      <c r="A36" s="39" t="s">
        <v>40</v>
      </c>
      <c r="B36" s="39"/>
      <c r="C36" s="43"/>
      <c r="D36" s="43"/>
      <c r="E36" s="43"/>
      <c r="F36" s="43"/>
      <c r="G36" s="43"/>
      <c r="H36" s="43"/>
      <c r="I36" s="43"/>
      <c r="J36" s="43"/>
      <c r="K36" s="43"/>
      <c r="L36" s="43"/>
    </row>
    <row r="37" spans="1:15" x14ac:dyDescent="0.35">
      <c r="A37" s="39" t="s">
        <v>19</v>
      </c>
      <c r="B37" s="39"/>
      <c r="C37" s="43">
        <f>+C33*B35</f>
        <v>601920</v>
      </c>
      <c r="D37" s="43">
        <f>+C37</f>
        <v>601920</v>
      </c>
      <c r="E37" s="43">
        <f t="shared" ref="E37:L37" si="10">+D37</f>
        <v>601920</v>
      </c>
      <c r="F37" s="43">
        <f t="shared" si="10"/>
        <v>601920</v>
      </c>
      <c r="G37" s="43">
        <f t="shared" si="10"/>
        <v>601920</v>
      </c>
      <c r="H37" s="43">
        <f t="shared" si="10"/>
        <v>601920</v>
      </c>
      <c r="I37" s="43">
        <f t="shared" si="10"/>
        <v>601920</v>
      </c>
      <c r="J37" s="43">
        <f t="shared" si="10"/>
        <v>601920</v>
      </c>
      <c r="K37" s="43">
        <f t="shared" si="10"/>
        <v>601920</v>
      </c>
      <c r="L37" s="43">
        <f t="shared" si="10"/>
        <v>601920</v>
      </c>
    </row>
    <row r="38" spans="1:15" x14ac:dyDescent="0.35">
      <c r="A38" s="39" t="s">
        <v>112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>
        <f>+B35</f>
        <v>10032000</v>
      </c>
    </row>
    <row r="42" spans="1:15" x14ac:dyDescent="0.35">
      <c r="A42" s="34" t="s">
        <v>16</v>
      </c>
      <c r="O42" s="55"/>
    </row>
    <row r="43" spans="1:15" x14ac:dyDescent="0.35">
      <c r="A43" s="34" t="s">
        <v>113</v>
      </c>
      <c r="B43" s="39">
        <v>0</v>
      </c>
      <c r="C43" s="39">
        <v>1</v>
      </c>
      <c r="D43" s="39">
        <v>2</v>
      </c>
      <c r="E43" s="39">
        <v>3</v>
      </c>
      <c r="F43" s="39">
        <v>4</v>
      </c>
      <c r="G43" s="39">
        <v>5</v>
      </c>
      <c r="H43" s="39">
        <v>6</v>
      </c>
      <c r="I43" s="39">
        <v>7</v>
      </c>
      <c r="J43" s="39">
        <v>8</v>
      </c>
      <c r="K43" s="39">
        <v>9</v>
      </c>
      <c r="L43" s="39">
        <v>10</v>
      </c>
      <c r="M43" s="39">
        <v>11</v>
      </c>
      <c r="N43" s="39">
        <v>12</v>
      </c>
    </row>
    <row r="44" spans="1:15" x14ac:dyDescent="0.35">
      <c r="A44" s="34" t="s">
        <v>114</v>
      </c>
      <c r="B44" s="39">
        <f>C4</f>
        <v>1350000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</row>
    <row r="45" spans="1:15" x14ac:dyDescent="0.35">
      <c r="A45" s="34" t="s">
        <v>115</v>
      </c>
      <c r="B45" s="39"/>
      <c r="C45" s="56">
        <f>+B44/12</f>
        <v>112500</v>
      </c>
      <c r="D45" s="56">
        <f>+C45</f>
        <v>112500</v>
      </c>
      <c r="E45" s="56">
        <f t="shared" ref="E45:N45" si="11">+D45</f>
        <v>112500</v>
      </c>
      <c r="F45" s="56">
        <f t="shared" si="11"/>
        <v>112500</v>
      </c>
      <c r="G45" s="56">
        <f t="shared" si="11"/>
        <v>112500</v>
      </c>
      <c r="H45" s="56">
        <f t="shared" si="11"/>
        <v>112500</v>
      </c>
      <c r="I45" s="56">
        <f t="shared" si="11"/>
        <v>112500</v>
      </c>
      <c r="J45" s="56">
        <f t="shared" si="11"/>
        <v>112500</v>
      </c>
      <c r="K45" s="56">
        <f t="shared" si="11"/>
        <v>112500</v>
      </c>
      <c r="L45" s="56">
        <f t="shared" si="11"/>
        <v>112500</v>
      </c>
      <c r="M45" s="56">
        <f t="shared" si="11"/>
        <v>112500</v>
      </c>
      <c r="N45" s="56">
        <f t="shared" si="11"/>
        <v>112500</v>
      </c>
    </row>
    <row r="46" spans="1:15" x14ac:dyDescent="0.35">
      <c r="A46" s="34" t="s">
        <v>116</v>
      </c>
      <c r="B46" s="39"/>
      <c r="C46" s="56">
        <f>+B46+C45</f>
        <v>112500</v>
      </c>
      <c r="D46" s="56">
        <f t="shared" ref="D46:N46" si="12">+C46+D45</f>
        <v>225000</v>
      </c>
      <c r="E46" s="56">
        <f t="shared" si="12"/>
        <v>337500</v>
      </c>
      <c r="F46" s="56">
        <f t="shared" si="12"/>
        <v>450000</v>
      </c>
      <c r="G46" s="56">
        <f t="shared" si="12"/>
        <v>562500</v>
      </c>
      <c r="H46" s="56">
        <f t="shared" si="12"/>
        <v>675000</v>
      </c>
      <c r="I46" s="56">
        <f t="shared" si="12"/>
        <v>787500</v>
      </c>
      <c r="J46" s="56">
        <f t="shared" si="12"/>
        <v>900000</v>
      </c>
      <c r="K46" s="56">
        <f t="shared" si="12"/>
        <v>1012500</v>
      </c>
      <c r="L46" s="56">
        <f t="shared" si="12"/>
        <v>1125000</v>
      </c>
      <c r="M46" s="56">
        <f t="shared" si="12"/>
        <v>1237500</v>
      </c>
      <c r="N46" s="56">
        <f t="shared" si="12"/>
        <v>1350000</v>
      </c>
    </row>
    <row r="47" spans="1:15" x14ac:dyDescent="0.35">
      <c r="A47" s="34" t="s">
        <v>117</v>
      </c>
      <c r="B47" s="39"/>
      <c r="C47" s="56">
        <f>+B44-C45</f>
        <v>1237500</v>
      </c>
      <c r="D47" s="56">
        <f>+C47-D45</f>
        <v>1125000</v>
      </c>
      <c r="E47" s="56">
        <f t="shared" ref="E47:N47" si="13">+D47-E45</f>
        <v>1012500</v>
      </c>
      <c r="F47" s="56">
        <f t="shared" si="13"/>
        <v>900000</v>
      </c>
      <c r="G47" s="56">
        <f t="shared" si="13"/>
        <v>787500</v>
      </c>
      <c r="H47" s="56">
        <f t="shared" si="13"/>
        <v>675000</v>
      </c>
      <c r="I47" s="56">
        <f t="shared" si="13"/>
        <v>562500</v>
      </c>
      <c r="J47" s="56">
        <f t="shared" si="13"/>
        <v>450000</v>
      </c>
      <c r="K47" s="56">
        <f t="shared" si="13"/>
        <v>337500</v>
      </c>
      <c r="L47" s="56">
        <f t="shared" si="13"/>
        <v>225000</v>
      </c>
      <c r="M47" s="56">
        <f t="shared" si="13"/>
        <v>112500</v>
      </c>
      <c r="N47" s="56">
        <f t="shared" si="13"/>
        <v>0</v>
      </c>
    </row>
    <row r="51" spans="1:22" x14ac:dyDescent="0.35">
      <c r="A51" s="34" t="s">
        <v>118</v>
      </c>
      <c r="B51" s="39">
        <v>0</v>
      </c>
      <c r="C51" s="39">
        <v>1</v>
      </c>
      <c r="D51" s="39">
        <v>2</v>
      </c>
      <c r="E51" s="39">
        <v>3</v>
      </c>
      <c r="F51" s="39">
        <v>4</v>
      </c>
      <c r="G51" s="39">
        <v>5</v>
      </c>
      <c r="H51" s="39">
        <v>6</v>
      </c>
      <c r="I51" s="39">
        <v>7</v>
      </c>
      <c r="J51" s="39">
        <v>8</v>
      </c>
      <c r="K51" s="39">
        <v>9</v>
      </c>
      <c r="L51" s="39">
        <v>10</v>
      </c>
      <c r="M51" s="39">
        <v>11</v>
      </c>
      <c r="N51" s="39">
        <v>12</v>
      </c>
      <c r="O51" s="39">
        <v>13</v>
      </c>
      <c r="P51" s="39">
        <v>14</v>
      </c>
      <c r="Q51" s="39">
        <v>15</v>
      </c>
      <c r="R51" s="39">
        <v>16</v>
      </c>
      <c r="S51" s="39">
        <v>17</v>
      </c>
      <c r="T51" s="39">
        <v>18</v>
      </c>
      <c r="U51" s="39">
        <v>19</v>
      </c>
      <c r="V51" s="39">
        <v>20</v>
      </c>
    </row>
    <row r="52" spans="1:22" x14ac:dyDescent="0.35">
      <c r="A52" s="34" t="s">
        <v>114</v>
      </c>
      <c r="B52" s="39">
        <f>+C5</f>
        <v>1850000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</row>
    <row r="53" spans="1:22" x14ac:dyDescent="0.35">
      <c r="A53" s="34" t="s">
        <v>59</v>
      </c>
      <c r="B53" s="39"/>
      <c r="C53" s="39">
        <f>+B52/20</f>
        <v>92500</v>
      </c>
      <c r="D53" s="39">
        <f>+C53</f>
        <v>92500</v>
      </c>
      <c r="E53" s="39">
        <f t="shared" ref="E53:V53" si="14">+D53</f>
        <v>92500</v>
      </c>
      <c r="F53" s="39">
        <f t="shared" si="14"/>
        <v>92500</v>
      </c>
      <c r="G53" s="39">
        <f t="shared" si="14"/>
        <v>92500</v>
      </c>
      <c r="H53" s="39">
        <f t="shared" si="14"/>
        <v>92500</v>
      </c>
      <c r="I53" s="39">
        <f t="shared" si="14"/>
        <v>92500</v>
      </c>
      <c r="J53" s="39">
        <f t="shared" si="14"/>
        <v>92500</v>
      </c>
      <c r="K53" s="39">
        <f t="shared" si="14"/>
        <v>92500</v>
      </c>
      <c r="L53" s="39">
        <f t="shared" si="14"/>
        <v>92500</v>
      </c>
      <c r="M53" s="39">
        <f t="shared" si="14"/>
        <v>92500</v>
      </c>
      <c r="N53" s="39">
        <f t="shared" si="14"/>
        <v>92500</v>
      </c>
      <c r="O53" s="39">
        <f t="shared" si="14"/>
        <v>92500</v>
      </c>
      <c r="P53" s="39">
        <f t="shared" si="14"/>
        <v>92500</v>
      </c>
      <c r="Q53" s="39">
        <f t="shared" si="14"/>
        <v>92500</v>
      </c>
      <c r="R53" s="39">
        <f t="shared" si="14"/>
        <v>92500</v>
      </c>
      <c r="S53" s="39">
        <f t="shared" si="14"/>
        <v>92500</v>
      </c>
      <c r="T53" s="39">
        <f t="shared" si="14"/>
        <v>92500</v>
      </c>
      <c r="U53" s="39">
        <f t="shared" si="14"/>
        <v>92500</v>
      </c>
      <c r="V53" s="39">
        <f t="shared" si="14"/>
        <v>92500</v>
      </c>
    </row>
    <row r="54" spans="1:22" x14ac:dyDescent="0.35">
      <c r="A54" s="34" t="s">
        <v>119</v>
      </c>
      <c r="B54" s="39"/>
      <c r="C54" s="39">
        <f>+B54+C53</f>
        <v>92500</v>
      </c>
      <c r="D54" s="39">
        <f t="shared" ref="D54:V54" si="15">+C54+D53</f>
        <v>185000</v>
      </c>
      <c r="E54" s="39">
        <f t="shared" si="15"/>
        <v>277500</v>
      </c>
      <c r="F54" s="39">
        <f t="shared" si="15"/>
        <v>370000</v>
      </c>
      <c r="G54" s="39">
        <f t="shared" si="15"/>
        <v>462500</v>
      </c>
      <c r="H54" s="39">
        <f t="shared" si="15"/>
        <v>555000</v>
      </c>
      <c r="I54" s="39">
        <f t="shared" si="15"/>
        <v>647500</v>
      </c>
      <c r="J54" s="39">
        <f t="shared" si="15"/>
        <v>740000</v>
      </c>
      <c r="K54" s="39">
        <f t="shared" si="15"/>
        <v>832500</v>
      </c>
      <c r="L54" s="39">
        <f t="shared" si="15"/>
        <v>925000</v>
      </c>
      <c r="M54" s="39">
        <f t="shared" si="15"/>
        <v>1017500</v>
      </c>
      <c r="N54" s="39">
        <f t="shared" si="15"/>
        <v>1110000</v>
      </c>
      <c r="O54" s="39">
        <f t="shared" si="15"/>
        <v>1202500</v>
      </c>
      <c r="P54" s="39">
        <f t="shared" si="15"/>
        <v>1295000</v>
      </c>
      <c r="Q54" s="39">
        <f t="shared" si="15"/>
        <v>1387500</v>
      </c>
      <c r="R54" s="39">
        <f t="shared" si="15"/>
        <v>1480000</v>
      </c>
      <c r="S54" s="39">
        <f t="shared" si="15"/>
        <v>1572500</v>
      </c>
      <c r="T54" s="39">
        <f t="shared" si="15"/>
        <v>1665000</v>
      </c>
      <c r="U54" s="39">
        <f t="shared" si="15"/>
        <v>1757500</v>
      </c>
      <c r="V54" s="39">
        <f t="shared" si="15"/>
        <v>1850000</v>
      </c>
    </row>
    <row r="55" spans="1:22" x14ac:dyDescent="0.35">
      <c r="A55" s="34" t="s">
        <v>117</v>
      </c>
      <c r="B55" s="39"/>
      <c r="C55" s="39">
        <f>+B52-C53</f>
        <v>1757500</v>
      </c>
      <c r="D55" s="39">
        <f>+C55-D53</f>
        <v>1665000</v>
      </c>
      <c r="E55" s="39">
        <f t="shared" ref="E55:V55" si="16">+D55-E53</f>
        <v>1572500</v>
      </c>
      <c r="F55" s="39">
        <f t="shared" si="16"/>
        <v>1480000</v>
      </c>
      <c r="G55" s="39">
        <f t="shared" si="16"/>
        <v>1387500</v>
      </c>
      <c r="H55" s="39">
        <f t="shared" si="16"/>
        <v>1295000</v>
      </c>
      <c r="I55" s="39">
        <f t="shared" si="16"/>
        <v>1202500</v>
      </c>
      <c r="J55" s="39">
        <f t="shared" si="16"/>
        <v>1110000</v>
      </c>
      <c r="K55" s="39">
        <f t="shared" si="16"/>
        <v>1017500</v>
      </c>
      <c r="L55" s="39">
        <f t="shared" si="16"/>
        <v>925000</v>
      </c>
      <c r="M55" s="39">
        <f t="shared" si="16"/>
        <v>832500</v>
      </c>
      <c r="N55" s="39">
        <f t="shared" si="16"/>
        <v>740000</v>
      </c>
      <c r="O55" s="39">
        <f t="shared" si="16"/>
        <v>647500</v>
      </c>
      <c r="P55" s="39">
        <f t="shared" si="16"/>
        <v>555000</v>
      </c>
      <c r="Q55" s="39">
        <f t="shared" si="16"/>
        <v>462500</v>
      </c>
      <c r="R55" s="39">
        <f t="shared" si="16"/>
        <v>370000</v>
      </c>
      <c r="S55" s="39">
        <f t="shared" si="16"/>
        <v>277500</v>
      </c>
      <c r="T55" s="39">
        <f t="shared" si="16"/>
        <v>185000</v>
      </c>
      <c r="U55" s="39">
        <f t="shared" si="16"/>
        <v>92500</v>
      </c>
      <c r="V55" s="39">
        <f t="shared" si="16"/>
        <v>0</v>
      </c>
    </row>
    <row r="58" spans="1:22" x14ac:dyDescent="0.35">
      <c r="A58" s="34" t="s">
        <v>120</v>
      </c>
      <c r="B58" s="39">
        <v>0</v>
      </c>
      <c r="C58" s="39">
        <v>1</v>
      </c>
      <c r="D58" s="39">
        <v>2</v>
      </c>
      <c r="E58" s="39">
        <v>3</v>
      </c>
      <c r="F58" s="39">
        <v>4</v>
      </c>
      <c r="G58" s="39">
        <v>5</v>
      </c>
      <c r="H58" s="39">
        <v>6</v>
      </c>
      <c r="I58" s="39">
        <v>7</v>
      </c>
      <c r="J58" s="39">
        <v>8</v>
      </c>
      <c r="K58" s="39">
        <v>9</v>
      </c>
      <c r="L58" s="39">
        <v>10</v>
      </c>
      <c r="M58" s="39">
        <v>11</v>
      </c>
      <c r="N58" s="39">
        <v>12</v>
      </c>
      <c r="O58" s="39">
        <v>13</v>
      </c>
      <c r="P58" s="39">
        <v>14</v>
      </c>
      <c r="Q58" s="39">
        <v>15</v>
      </c>
      <c r="R58" s="39">
        <v>16</v>
      </c>
      <c r="S58" s="39">
        <v>17</v>
      </c>
      <c r="T58" s="39">
        <v>18</v>
      </c>
      <c r="U58" s="39">
        <v>19</v>
      </c>
      <c r="V58" s="39">
        <v>20</v>
      </c>
    </row>
    <row r="59" spans="1:22" x14ac:dyDescent="0.35">
      <c r="A59" s="34" t="s">
        <v>114</v>
      </c>
      <c r="B59" s="39">
        <f>+C1*1000*C2</f>
        <v>13520000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</row>
    <row r="60" spans="1:22" x14ac:dyDescent="0.35">
      <c r="A60" s="34" t="s">
        <v>59</v>
      </c>
      <c r="B60" s="39"/>
      <c r="C60" s="39">
        <f>+B59/20</f>
        <v>676000</v>
      </c>
      <c r="D60" s="39">
        <f>+C60</f>
        <v>676000</v>
      </c>
      <c r="E60" s="39">
        <f t="shared" ref="E60:V60" si="17">+D60</f>
        <v>676000</v>
      </c>
      <c r="F60" s="39">
        <f t="shared" si="17"/>
        <v>676000</v>
      </c>
      <c r="G60" s="39">
        <f t="shared" si="17"/>
        <v>676000</v>
      </c>
      <c r="H60" s="39">
        <f t="shared" si="17"/>
        <v>676000</v>
      </c>
      <c r="I60" s="39">
        <f t="shared" si="17"/>
        <v>676000</v>
      </c>
      <c r="J60" s="39">
        <f t="shared" si="17"/>
        <v>676000</v>
      </c>
      <c r="K60" s="39">
        <f t="shared" si="17"/>
        <v>676000</v>
      </c>
      <c r="L60" s="39">
        <f t="shared" si="17"/>
        <v>676000</v>
      </c>
      <c r="M60" s="39">
        <f t="shared" si="17"/>
        <v>676000</v>
      </c>
      <c r="N60" s="39">
        <f t="shared" si="17"/>
        <v>676000</v>
      </c>
      <c r="O60" s="39">
        <f t="shared" si="17"/>
        <v>676000</v>
      </c>
      <c r="P60" s="39">
        <f t="shared" si="17"/>
        <v>676000</v>
      </c>
      <c r="Q60" s="39">
        <f t="shared" si="17"/>
        <v>676000</v>
      </c>
      <c r="R60" s="39">
        <f t="shared" si="17"/>
        <v>676000</v>
      </c>
      <c r="S60" s="39">
        <f t="shared" si="17"/>
        <v>676000</v>
      </c>
      <c r="T60" s="39">
        <f t="shared" si="17"/>
        <v>676000</v>
      </c>
      <c r="U60" s="39">
        <f t="shared" si="17"/>
        <v>676000</v>
      </c>
      <c r="V60" s="39">
        <f t="shared" si="17"/>
        <v>676000</v>
      </c>
    </row>
    <row r="61" spans="1:22" x14ac:dyDescent="0.35">
      <c r="A61" s="34" t="s">
        <v>119</v>
      </c>
      <c r="B61" s="39"/>
      <c r="C61" s="39">
        <f>+B61+C60</f>
        <v>676000</v>
      </c>
      <c r="D61" s="39">
        <f t="shared" ref="D61:V61" si="18">+C61+D60</f>
        <v>1352000</v>
      </c>
      <c r="E61" s="39">
        <f t="shared" si="18"/>
        <v>2028000</v>
      </c>
      <c r="F61" s="39">
        <f t="shared" si="18"/>
        <v>2704000</v>
      </c>
      <c r="G61" s="39">
        <f t="shared" si="18"/>
        <v>3380000</v>
      </c>
      <c r="H61" s="39">
        <f t="shared" si="18"/>
        <v>4056000</v>
      </c>
      <c r="I61" s="39">
        <f t="shared" si="18"/>
        <v>4732000</v>
      </c>
      <c r="J61" s="39">
        <f t="shared" si="18"/>
        <v>5408000</v>
      </c>
      <c r="K61" s="39">
        <f t="shared" si="18"/>
        <v>6084000</v>
      </c>
      <c r="L61" s="39">
        <f t="shared" si="18"/>
        <v>6760000</v>
      </c>
      <c r="M61" s="39">
        <f t="shared" si="18"/>
        <v>7436000</v>
      </c>
      <c r="N61" s="39">
        <f t="shared" si="18"/>
        <v>8112000</v>
      </c>
      <c r="O61" s="39">
        <f t="shared" si="18"/>
        <v>8788000</v>
      </c>
      <c r="P61" s="39">
        <f t="shared" si="18"/>
        <v>9464000</v>
      </c>
      <c r="Q61" s="39">
        <f t="shared" si="18"/>
        <v>10140000</v>
      </c>
      <c r="R61" s="39">
        <f t="shared" si="18"/>
        <v>10816000</v>
      </c>
      <c r="S61" s="39">
        <f t="shared" si="18"/>
        <v>11492000</v>
      </c>
      <c r="T61" s="39">
        <f t="shared" si="18"/>
        <v>12168000</v>
      </c>
      <c r="U61" s="39">
        <f t="shared" si="18"/>
        <v>12844000</v>
      </c>
      <c r="V61" s="39">
        <f t="shared" si="18"/>
        <v>13520000</v>
      </c>
    </row>
    <row r="62" spans="1:22" x14ac:dyDescent="0.35">
      <c r="A62" s="34" t="s">
        <v>117</v>
      </c>
      <c r="B62" s="39"/>
      <c r="C62" s="39">
        <f>+B59-C60</f>
        <v>12844000</v>
      </c>
      <c r="D62" s="39">
        <f>+C62-D60</f>
        <v>12168000</v>
      </c>
      <c r="E62" s="39">
        <f t="shared" ref="E62:V62" si="19">+D62-E60</f>
        <v>11492000</v>
      </c>
      <c r="F62" s="39">
        <f t="shared" si="19"/>
        <v>10816000</v>
      </c>
      <c r="G62" s="39">
        <f t="shared" si="19"/>
        <v>10140000</v>
      </c>
      <c r="H62" s="39">
        <f t="shared" si="19"/>
        <v>9464000</v>
      </c>
      <c r="I62" s="39">
        <f t="shared" si="19"/>
        <v>8788000</v>
      </c>
      <c r="J62" s="39">
        <f t="shared" si="19"/>
        <v>8112000</v>
      </c>
      <c r="K62" s="39">
        <f t="shared" si="19"/>
        <v>7436000</v>
      </c>
      <c r="L62" s="39">
        <f t="shared" si="19"/>
        <v>6760000</v>
      </c>
      <c r="M62" s="39">
        <f t="shared" si="19"/>
        <v>6084000</v>
      </c>
      <c r="N62" s="39">
        <f t="shared" si="19"/>
        <v>5408000</v>
      </c>
      <c r="O62" s="39">
        <f t="shared" si="19"/>
        <v>4732000</v>
      </c>
      <c r="P62" s="39">
        <f t="shared" si="19"/>
        <v>4056000</v>
      </c>
      <c r="Q62" s="39">
        <f t="shared" si="19"/>
        <v>3380000</v>
      </c>
      <c r="R62" s="39">
        <f t="shared" si="19"/>
        <v>2704000</v>
      </c>
      <c r="S62" s="39">
        <f t="shared" si="19"/>
        <v>2028000</v>
      </c>
      <c r="T62" s="39">
        <f t="shared" si="19"/>
        <v>1352000</v>
      </c>
      <c r="U62" s="39">
        <f t="shared" si="19"/>
        <v>676000</v>
      </c>
      <c r="V62" s="39">
        <f t="shared" si="19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W122"/>
  <sheetViews>
    <sheetView topLeftCell="A97" zoomScale="60" zoomScaleNormal="60" workbookViewId="0">
      <selection activeCell="E82" sqref="E82"/>
    </sheetView>
  </sheetViews>
  <sheetFormatPr baseColWidth="10" defaultColWidth="10.81640625" defaultRowHeight="14.5" x14ac:dyDescent="0.35"/>
  <cols>
    <col min="1" max="1" width="10.81640625" style="66"/>
    <col min="2" max="2" width="13.1796875" style="66" customWidth="1"/>
    <col min="3" max="3" width="11" style="66" bestFit="1" customWidth="1"/>
    <col min="4" max="16384" width="10.81640625" style="66"/>
  </cols>
  <sheetData>
    <row r="3" spans="1:18" x14ac:dyDescent="0.35">
      <c r="B3" s="66" t="s">
        <v>144</v>
      </c>
    </row>
    <row r="4" spans="1:18" x14ac:dyDescent="0.35">
      <c r="B4" s="67" t="s">
        <v>145</v>
      </c>
      <c r="C4" s="68" t="s">
        <v>146</v>
      </c>
      <c r="D4" s="68"/>
      <c r="E4" s="68" t="s">
        <v>147</v>
      </c>
      <c r="F4" s="68"/>
    </row>
    <row r="5" spans="1:18" x14ac:dyDescent="0.35">
      <c r="B5" s="69"/>
      <c r="C5" s="70" t="s">
        <v>38</v>
      </c>
      <c r="D5" s="70" t="s">
        <v>13</v>
      </c>
      <c r="E5" s="70" t="s">
        <v>38</v>
      </c>
      <c r="F5" s="70" t="s">
        <v>13</v>
      </c>
    </row>
    <row r="6" spans="1:18" x14ac:dyDescent="0.35">
      <c r="B6" s="112" t="s">
        <v>148</v>
      </c>
      <c r="C6" s="71">
        <v>12000</v>
      </c>
      <c r="D6" s="71">
        <v>4</v>
      </c>
      <c r="E6" s="71">
        <v>60000</v>
      </c>
      <c r="F6" s="71">
        <v>15</v>
      </c>
    </row>
    <row r="7" spans="1:18" x14ac:dyDescent="0.35">
      <c r="B7" s="112" t="s">
        <v>149</v>
      </c>
      <c r="C7" s="71">
        <v>60000</v>
      </c>
      <c r="D7" s="71">
        <v>5</v>
      </c>
      <c r="E7" s="71">
        <v>12000</v>
      </c>
      <c r="F7" s="71">
        <v>20</v>
      </c>
    </row>
    <row r="9" spans="1:18" x14ac:dyDescent="0.35">
      <c r="A9" s="72" t="s">
        <v>150</v>
      </c>
    </row>
    <row r="10" spans="1:18" x14ac:dyDescent="0.35">
      <c r="B10" s="66" t="s">
        <v>45</v>
      </c>
      <c r="C10" s="73">
        <v>0.12</v>
      </c>
    </row>
    <row r="11" spans="1:18" x14ac:dyDescent="0.35">
      <c r="A11" s="66" t="s">
        <v>148</v>
      </c>
      <c r="B11" s="71"/>
      <c r="C11" s="71">
        <v>0</v>
      </c>
      <c r="D11" s="71">
        <v>1</v>
      </c>
      <c r="E11" s="71">
        <v>2</v>
      </c>
      <c r="F11" s="71">
        <v>3</v>
      </c>
      <c r="G11" s="71">
        <v>4</v>
      </c>
      <c r="H11" s="71">
        <v>5</v>
      </c>
      <c r="I11" s="71">
        <v>6</v>
      </c>
      <c r="J11" s="71">
        <v>7</v>
      </c>
      <c r="K11" s="71">
        <v>8</v>
      </c>
      <c r="L11" s="71">
        <v>9</v>
      </c>
      <c r="M11" s="71">
        <v>10</v>
      </c>
      <c r="N11" s="71">
        <v>11</v>
      </c>
      <c r="O11" s="71">
        <v>12</v>
      </c>
      <c r="P11" s="71">
        <v>13</v>
      </c>
      <c r="Q11" s="71">
        <v>14</v>
      </c>
      <c r="R11" s="71">
        <v>15</v>
      </c>
    </row>
    <row r="12" spans="1:18" x14ac:dyDescent="0.35">
      <c r="B12" s="71" t="s">
        <v>4</v>
      </c>
      <c r="C12" s="71">
        <f>+C6+E6</f>
        <v>72000</v>
      </c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</row>
    <row r="13" spans="1:18" x14ac:dyDescent="0.35">
      <c r="B13" s="71" t="s">
        <v>37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</row>
    <row r="14" spans="1:18" x14ac:dyDescent="0.35">
      <c r="B14" s="71" t="s">
        <v>14</v>
      </c>
      <c r="C14" s="71"/>
      <c r="D14" s="71">
        <v>16000</v>
      </c>
      <c r="E14" s="71">
        <v>16000</v>
      </c>
      <c r="F14" s="71">
        <v>16000</v>
      </c>
      <c r="G14" s="71">
        <v>16000</v>
      </c>
      <c r="H14" s="71">
        <v>16000</v>
      </c>
      <c r="I14" s="71">
        <v>16000</v>
      </c>
      <c r="J14" s="71">
        <v>16000</v>
      </c>
      <c r="K14" s="71">
        <v>16000</v>
      </c>
      <c r="L14" s="71">
        <v>16000</v>
      </c>
      <c r="M14" s="71">
        <v>16000</v>
      </c>
      <c r="N14" s="71">
        <v>16000</v>
      </c>
      <c r="O14" s="71">
        <v>16000</v>
      </c>
      <c r="P14" s="71">
        <v>16000</v>
      </c>
      <c r="Q14" s="71">
        <v>16000</v>
      </c>
      <c r="R14" s="71">
        <v>16000</v>
      </c>
    </row>
    <row r="15" spans="1:18" x14ac:dyDescent="0.35">
      <c r="B15" s="71" t="s">
        <v>47</v>
      </c>
      <c r="C15" s="71"/>
      <c r="D15" s="71">
        <v>1300</v>
      </c>
      <c r="E15" s="71">
        <f>+D15</f>
        <v>1300</v>
      </c>
      <c r="F15" s="71">
        <f t="shared" ref="F15:R15" si="0">+E15</f>
        <v>1300</v>
      </c>
      <c r="G15" s="71">
        <f t="shared" si="0"/>
        <v>1300</v>
      </c>
      <c r="H15" s="71">
        <f t="shared" si="0"/>
        <v>1300</v>
      </c>
      <c r="I15" s="71">
        <f t="shared" si="0"/>
        <v>1300</v>
      </c>
      <c r="J15" s="71">
        <f t="shared" si="0"/>
        <v>1300</v>
      </c>
      <c r="K15" s="71">
        <f t="shared" si="0"/>
        <v>1300</v>
      </c>
      <c r="L15" s="71">
        <f t="shared" si="0"/>
        <v>1300</v>
      </c>
      <c r="M15" s="71">
        <f t="shared" si="0"/>
        <v>1300</v>
      </c>
      <c r="N15" s="71">
        <f t="shared" si="0"/>
        <v>1300</v>
      </c>
      <c r="O15" s="71">
        <f t="shared" si="0"/>
        <v>1300</v>
      </c>
      <c r="P15" s="71">
        <f t="shared" si="0"/>
        <v>1300</v>
      </c>
      <c r="Q15" s="71">
        <f t="shared" si="0"/>
        <v>1300</v>
      </c>
      <c r="R15" s="71">
        <f t="shared" si="0"/>
        <v>1300</v>
      </c>
    </row>
    <row r="16" spans="1:18" x14ac:dyDescent="0.35">
      <c r="B16" s="71" t="s">
        <v>59</v>
      </c>
      <c r="C16" s="71"/>
      <c r="D16" s="71">
        <f>+D31</f>
        <v>7000</v>
      </c>
      <c r="E16" s="71">
        <f t="shared" ref="E16:R16" si="1">+E31</f>
        <v>7000</v>
      </c>
      <c r="F16" s="71">
        <f t="shared" si="1"/>
        <v>7000</v>
      </c>
      <c r="G16" s="71">
        <f t="shared" si="1"/>
        <v>7000</v>
      </c>
      <c r="H16" s="71">
        <f t="shared" si="1"/>
        <v>4000</v>
      </c>
      <c r="I16" s="71">
        <f t="shared" si="1"/>
        <v>4000</v>
      </c>
      <c r="J16" s="71">
        <f t="shared" si="1"/>
        <v>4000</v>
      </c>
      <c r="K16" s="71">
        <f t="shared" si="1"/>
        <v>4000</v>
      </c>
      <c r="L16" s="71">
        <f t="shared" si="1"/>
        <v>4000</v>
      </c>
      <c r="M16" s="71">
        <f t="shared" si="1"/>
        <v>4000</v>
      </c>
      <c r="N16" s="71">
        <f t="shared" si="1"/>
        <v>4000</v>
      </c>
      <c r="O16" s="71">
        <f t="shared" si="1"/>
        <v>4000</v>
      </c>
      <c r="P16" s="71">
        <f t="shared" si="1"/>
        <v>4000</v>
      </c>
      <c r="Q16" s="71">
        <f t="shared" si="1"/>
        <v>4000</v>
      </c>
      <c r="R16" s="71">
        <f t="shared" si="1"/>
        <v>4000</v>
      </c>
    </row>
    <row r="17" spans="1:18" x14ac:dyDescent="0.35">
      <c r="B17" s="71" t="s">
        <v>17</v>
      </c>
      <c r="C17" s="71"/>
      <c r="D17" s="71">
        <f>+D14-D15-D16</f>
        <v>7700</v>
      </c>
      <c r="E17" s="71">
        <f t="shared" ref="E17:R17" si="2">+E14-E15-E16</f>
        <v>7700</v>
      </c>
      <c r="F17" s="71">
        <f t="shared" si="2"/>
        <v>7700</v>
      </c>
      <c r="G17" s="71">
        <f t="shared" si="2"/>
        <v>7700</v>
      </c>
      <c r="H17" s="71">
        <f t="shared" si="2"/>
        <v>10700</v>
      </c>
      <c r="I17" s="71">
        <f t="shared" si="2"/>
        <v>10700</v>
      </c>
      <c r="J17" s="71">
        <f t="shared" si="2"/>
        <v>10700</v>
      </c>
      <c r="K17" s="71">
        <f t="shared" si="2"/>
        <v>10700</v>
      </c>
      <c r="L17" s="71">
        <f t="shared" si="2"/>
        <v>10700</v>
      </c>
      <c r="M17" s="71">
        <f t="shared" si="2"/>
        <v>10700</v>
      </c>
      <c r="N17" s="71">
        <f t="shared" si="2"/>
        <v>10700</v>
      </c>
      <c r="O17" s="71">
        <f t="shared" si="2"/>
        <v>10700</v>
      </c>
      <c r="P17" s="71">
        <f t="shared" si="2"/>
        <v>10700</v>
      </c>
      <c r="Q17" s="71">
        <f t="shared" si="2"/>
        <v>10700</v>
      </c>
      <c r="R17" s="71">
        <f t="shared" si="2"/>
        <v>10700</v>
      </c>
    </row>
    <row r="18" spans="1:18" x14ac:dyDescent="0.35">
      <c r="B18" s="71" t="s">
        <v>21</v>
      </c>
      <c r="C18" s="71"/>
      <c r="D18" s="71">
        <v>0</v>
      </c>
      <c r="E18" s="71">
        <v>0</v>
      </c>
      <c r="F18" s="71">
        <v>0</v>
      </c>
      <c r="G18" s="71">
        <v>0</v>
      </c>
      <c r="H18" s="71">
        <v>0</v>
      </c>
      <c r="I18" s="71">
        <v>0</v>
      </c>
      <c r="J18" s="71">
        <v>0</v>
      </c>
      <c r="K18" s="71">
        <v>0</v>
      </c>
      <c r="L18" s="71">
        <v>0</v>
      </c>
      <c r="M18" s="71">
        <v>0</v>
      </c>
      <c r="N18" s="71">
        <v>0</v>
      </c>
      <c r="O18" s="71">
        <v>0</v>
      </c>
      <c r="P18" s="71">
        <v>0</v>
      </c>
      <c r="Q18" s="71">
        <v>0</v>
      </c>
      <c r="R18" s="71">
        <v>0</v>
      </c>
    </row>
    <row r="19" spans="1:18" x14ac:dyDescent="0.35">
      <c r="B19" s="71" t="s">
        <v>41</v>
      </c>
      <c r="C19" s="71"/>
      <c r="D19" s="71">
        <f>+D17-D18</f>
        <v>7700</v>
      </c>
      <c r="E19" s="71">
        <f t="shared" ref="E19:R19" si="3">+E17-E18</f>
        <v>7700</v>
      </c>
      <c r="F19" s="71">
        <f t="shared" si="3"/>
        <v>7700</v>
      </c>
      <c r="G19" s="71">
        <f t="shared" si="3"/>
        <v>7700</v>
      </c>
      <c r="H19" s="71">
        <f t="shared" si="3"/>
        <v>10700</v>
      </c>
      <c r="I19" s="71">
        <f t="shared" si="3"/>
        <v>10700</v>
      </c>
      <c r="J19" s="71">
        <f t="shared" si="3"/>
        <v>10700</v>
      </c>
      <c r="K19" s="71">
        <f t="shared" si="3"/>
        <v>10700</v>
      </c>
      <c r="L19" s="71">
        <f t="shared" si="3"/>
        <v>10700</v>
      </c>
      <c r="M19" s="71">
        <f t="shared" si="3"/>
        <v>10700</v>
      </c>
      <c r="N19" s="71">
        <f t="shared" si="3"/>
        <v>10700</v>
      </c>
      <c r="O19" s="71">
        <f t="shared" si="3"/>
        <v>10700</v>
      </c>
      <c r="P19" s="71">
        <f t="shared" si="3"/>
        <v>10700</v>
      </c>
      <c r="Q19" s="71">
        <f t="shared" si="3"/>
        <v>10700</v>
      </c>
      <c r="R19" s="71">
        <f t="shared" si="3"/>
        <v>10700</v>
      </c>
    </row>
    <row r="20" spans="1:18" x14ac:dyDescent="0.35">
      <c r="B20" s="71" t="s">
        <v>21</v>
      </c>
      <c r="C20" s="71"/>
      <c r="D20" s="71">
        <f>+D19*0.3</f>
        <v>2310</v>
      </c>
      <c r="E20" s="71">
        <f t="shared" ref="E20:R20" si="4">+E19*0.3</f>
        <v>2310</v>
      </c>
      <c r="F20" s="71">
        <f t="shared" si="4"/>
        <v>2310</v>
      </c>
      <c r="G20" s="71">
        <f t="shared" si="4"/>
        <v>2310</v>
      </c>
      <c r="H20" s="71">
        <f t="shared" si="4"/>
        <v>3210</v>
      </c>
      <c r="I20" s="71">
        <f t="shared" si="4"/>
        <v>3210</v>
      </c>
      <c r="J20" s="71">
        <f t="shared" si="4"/>
        <v>3210</v>
      </c>
      <c r="K20" s="71">
        <f t="shared" si="4"/>
        <v>3210</v>
      </c>
      <c r="L20" s="71">
        <f t="shared" si="4"/>
        <v>3210</v>
      </c>
      <c r="M20" s="71">
        <f t="shared" si="4"/>
        <v>3210</v>
      </c>
      <c r="N20" s="71">
        <f t="shared" si="4"/>
        <v>3210</v>
      </c>
      <c r="O20" s="71">
        <f t="shared" si="4"/>
        <v>3210</v>
      </c>
      <c r="P20" s="71">
        <f t="shared" si="4"/>
        <v>3210</v>
      </c>
      <c r="Q20" s="71">
        <f t="shared" si="4"/>
        <v>3210</v>
      </c>
      <c r="R20" s="71">
        <f t="shared" si="4"/>
        <v>3210</v>
      </c>
    </row>
    <row r="21" spans="1:18" x14ac:dyDescent="0.35">
      <c r="B21" s="71" t="s">
        <v>18</v>
      </c>
      <c r="C21" s="71"/>
      <c r="D21" s="71">
        <f>+D19-D20</f>
        <v>5390</v>
      </c>
      <c r="E21" s="71">
        <f t="shared" ref="E21:R21" si="5">+E19-E20</f>
        <v>5390</v>
      </c>
      <c r="F21" s="71">
        <f t="shared" si="5"/>
        <v>5390</v>
      </c>
      <c r="G21" s="71">
        <f t="shared" si="5"/>
        <v>5390</v>
      </c>
      <c r="H21" s="71">
        <f t="shared" si="5"/>
        <v>7490</v>
      </c>
      <c r="I21" s="71">
        <f t="shared" si="5"/>
        <v>7490</v>
      </c>
      <c r="J21" s="71">
        <f t="shared" si="5"/>
        <v>7490</v>
      </c>
      <c r="K21" s="71">
        <f t="shared" si="5"/>
        <v>7490</v>
      </c>
      <c r="L21" s="71">
        <f t="shared" si="5"/>
        <v>7490</v>
      </c>
      <c r="M21" s="71">
        <f t="shared" si="5"/>
        <v>7490</v>
      </c>
      <c r="N21" s="71">
        <f t="shared" si="5"/>
        <v>7490</v>
      </c>
      <c r="O21" s="71">
        <f t="shared" si="5"/>
        <v>7490</v>
      </c>
      <c r="P21" s="71">
        <f t="shared" si="5"/>
        <v>7490</v>
      </c>
      <c r="Q21" s="71">
        <f t="shared" si="5"/>
        <v>7490</v>
      </c>
      <c r="R21" s="71">
        <f t="shared" si="5"/>
        <v>7490</v>
      </c>
    </row>
    <row r="22" spans="1:18" x14ac:dyDescent="0.35">
      <c r="B22" s="71" t="s">
        <v>24</v>
      </c>
      <c r="C22" s="71">
        <f>-C12</f>
        <v>-72000</v>
      </c>
      <c r="D22" s="71">
        <f>+D21+D16</f>
        <v>12390</v>
      </c>
      <c r="E22" s="71">
        <f t="shared" ref="E22:R22" si="6">+E21+E16</f>
        <v>12390</v>
      </c>
      <c r="F22" s="71">
        <f t="shared" si="6"/>
        <v>12390</v>
      </c>
      <c r="G22" s="71">
        <f t="shared" si="6"/>
        <v>12390</v>
      </c>
      <c r="H22" s="71">
        <f t="shared" si="6"/>
        <v>11490</v>
      </c>
      <c r="I22" s="71">
        <f t="shared" si="6"/>
        <v>11490</v>
      </c>
      <c r="J22" s="71">
        <f t="shared" si="6"/>
        <v>11490</v>
      </c>
      <c r="K22" s="71">
        <f t="shared" si="6"/>
        <v>11490</v>
      </c>
      <c r="L22" s="71">
        <f t="shared" si="6"/>
        <v>11490</v>
      </c>
      <c r="M22" s="71">
        <f t="shared" si="6"/>
        <v>11490</v>
      </c>
      <c r="N22" s="71">
        <f t="shared" si="6"/>
        <v>11490</v>
      </c>
      <c r="O22" s="71">
        <f t="shared" si="6"/>
        <v>11490</v>
      </c>
      <c r="P22" s="71">
        <f t="shared" si="6"/>
        <v>11490</v>
      </c>
      <c r="Q22" s="71">
        <f t="shared" si="6"/>
        <v>11490</v>
      </c>
      <c r="R22" s="71">
        <f t="shared" si="6"/>
        <v>11490</v>
      </c>
    </row>
    <row r="23" spans="1:18" x14ac:dyDescent="0.35">
      <c r="B23" s="74" t="s">
        <v>42</v>
      </c>
      <c r="C23" s="75">
        <f>NPV(C10,D22:R22)</f>
        <v>80990.447395916621</v>
      </c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</row>
    <row r="24" spans="1:18" ht="15" thickBot="1" x14ac:dyDescent="0.4">
      <c r="B24" s="74" t="s">
        <v>22</v>
      </c>
      <c r="C24" s="77">
        <f>+C22+C23</f>
        <v>8990.4473959166207</v>
      </c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</row>
    <row r="25" spans="1:18" ht="15" thickBot="1" x14ac:dyDescent="0.4">
      <c r="B25" s="113" t="s">
        <v>52</v>
      </c>
      <c r="C25" s="114">
        <f>-PMT(C10,15,C24)</f>
        <v>1320.0156029859324</v>
      </c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</row>
    <row r="27" spans="1:18" x14ac:dyDescent="0.35">
      <c r="A27" s="66" t="s">
        <v>16</v>
      </c>
    </row>
    <row r="28" spans="1:18" x14ac:dyDescent="0.35">
      <c r="B28" s="66" t="s">
        <v>4</v>
      </c>
      <c r="C28" s="66">
        <f>+E6+E7</f>
        <v>72000</v>
      </c>
    </row>
    <row r="29" spans="1:18" x14ac:dyDescent="0.35">
      <c r="B29" s="71" t="s">
        <v>151</v>
      </c>
      <c r="C29" s="71"/>
      <c r="D29" s="71">
        <f>+C6/D6</f>
        <v>3000</v>
      </c>
      <c r="E29" s="71">
        <f>+D29</f>
        <v>3000</v>
      </c>
      <c r="F29" s="71">
        <f t="shared" ref="F29:R30" si="7">+E29</f>
        <v>3000</v>
      </c>
      <c r="G29" s="71">
        <f t="shared" si="7"/>
        <v>3000</v>
      </c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</row>
    <row r="30" spans="1:18" x14ac:dyDescent="0.35">
      <c r="B30" s="71" t="s">
        <v>152</v>
      </c>
      <c r="C30" s="71"/>
      <c r="D30" s="71">
        <f>+E6/F6</f>
        <v>4000</v>
      </c>
      <c r="E30" s="71">
        <f>+D30</f>
        <v>4000</v>
      </c>
      <c r="F30" s="71">
        <f t="shared" si="7"/>
        <v>4000</v>
      </c>
      <c r="G30" s="71">
        <f t="shared" si="7"/>
        <v>4000</v>
      </c>
      <c r="H30" s="71">
        <f t="shared" si="7"/>
        <v>4000</v>
      </c>
      <c r="I30" s="71">
        <f t="shared" si="7"/>
        <v>4000</v>
      </c>
      <c r="J30" s="71">
        <f t="shared" si="7"/>
        <v>4000</v>
      </c>
      <c r="K30" s="71">
        <f t="shared" si="7"/>
        <v>4000</v>
      </c>
      <c r="L30" s="71">
        <f t="shared" si="7"/>
        <v>4000</v>
      </c>
      <c r="M30" s="71">
        <f t="shared" si="7"/>
        <v>4000</v>
      </c>
      <c r="N30" s="71">
        <f t="shared" si="7"/>
        <v>4000</v>
      </c>
      <c r="O30" s="71">
        <f t="shared" si="7"/>
        <v>4000</v>
      </c>
      <c r="P30" s="71">
        <f t="shared" si="7"/>
        <v>4000</v>
      </c>
      <c r="Q30" s="71">
        <f t="shared" si="7"/>
        <v>4000</v>
      </c>
      <c r="R30" s="71">
        <f t="shared" si="7"/>
        <v>4000</v>
      </c>
    </row>
    <row r="31" spans="1:18" x14ac:dyDescent="0.35">
      <c r="B31" s="71" t="s">
        <v>59</v>
      </c>
      <c r="C31" s="71"/>
      <c r="D31" s="71">
        <f>+D29+D30</f>
        <v>7000</v>
      </c>
      <c r="E31" s="71">
        <f t="shared" ref="E31:R31" si="8">+E29+E30</f>
        <v>7000</v>
      </c>
      <c r="F31" s="71">
        <f t="shared" si="8"/>
        <v>7000</v>
      </c>
      <c r="G31" s="71">
        <f t="shared" si="8"/>
        <v>7000</v>
      </c>
      <c r="H31" s="71">
        <f t="shared" si="8"/>
        <v>4000</v>
      </c>
      <c r="I31" s="71">
        <f t="shared" si="8"/>
        <v>4000</v>
      </c>
      <c r="J31" s="71">
        <f t="shared" si="8"/>
        <v>4000</v>
      </c>
      <c r="K31" s="71">
        <f t="shared" si="8"/>
        <v>4000</v>
      </c>
      <c r="L31" s="71">
        <f t="shared" si="8"/>
        <v>4000</v>
      </c>
      <c r="M31" s="71">
        <f t="shared" si="8"/>
        <v>4000</v>
      </c>
      <c r="N31" s="71">
        <f t="shared" si="8"/>
        <v>4000</v>
      </c>
      <c r="O31" s="71">
        <f t="shared" si="8"/>
        <v>4000</v>
      </c>
      <c r="P31" s="71">
        <f t="shared" si="8"/>
        <v>4000</v>
      </c>
      <c r="Q31" s="71">
        <f t="shared" si="8"/>
        <v>4000</v>
      </c>
      <c r="R31" s="71">
        <f t="shared" si="8"/>
        <v>4000</v>
      </c>
    </row>
    <row r="33" spans="1:23" x14ac:dyDescent="0.35">
      <c r="B33" s="66" t="s">
        <v>45</v>
      </c>
      <c r="C33" s="73">
        <v>0.12</v>
      </c>
    </row>
    <row r="34" spans="1:23" x14ac:dyDescent="0.35">
      <c r="A34" s="66" t="s">
        <v>149</v>
      </c>
      <c r="B34" s="71"/>
      <c r="C34" s="71">
        <v>0</v>
      </c>
      <c r="D34" s="71">
        <v>1</v>
      </c>
      <c r="E34" s="71">
        <v>2</v>
      </c>
      <c r="F34" s="71">
        <v>3</v>
      </c>
      <c r="G34" s="71">
        <v>4</v>
      </c>
      <c r="H34" s="71">
        <v>5</v>
      </c>
      <c r="I34" s="71">
        <v>6</v>
      </c>
      <c r="J34" s="71">
        <v>7</v>
      </c>
      <c r="K34" s="71">
        <v>8</v>
      </c>
      <c r="L34" s="71">
        <v>9</v>
      </c>
      <c r="M34" s="71">
        <v>10</v>
      </c>
      <c r="N34" s="71">
        <v>11</v>
      </c>
      <c r="O34" s="71">
        <v>12</v>
      </c>
      <c r="P34" s="71">
        <v>13</v>
      </c>
      <c r="Q34" s="71">
        <v>14</v>
      </c>
      <c r="R34" s="71">
        <v>15</v>
      </c>
      <c r="S34" s="78">
        <v>16</v>
      </c>
      <c r="T34" s="78">
        <v>17</v>
      </c>
      <c r="U34" s="78">
        <v>18</v>
      </c>
      <c r="V34" s="78">
        <v>19</v>
      </c>
      <c r="W34" s="78">
        <v>20</v>
      </c>
    </row>
    <row r="35" spans="1:23" x14ac:dyDescent="0.35">
      <c r="B35" s="71" t="s">
        <v>4</v>
      </c>
      <c r="C35" s="71">
        <f>+C28</f>
        <v>72000</v>
      </c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</row>
    <row r="36" spans="1:23" x14ac:dyDescent="0.35">
      <c r="B36" s="71" t="s">
        <v>37</v>
      </c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</row>
    <row r="37" spans="1:23" x14ac:dyDescent="0.35">
      <c r="B37" s="71" t="s">
        <v>14</v>
      </c>
      <c r="C37" s="71"/>
      <c r="D37" s="71">
        <v>15100</v>
      </c>
      <c r="E37" s="71">
        <v>15100</v>
      </c>
      <c r="F37" s="71">
        <v>15100</v>
      </c>
      <c r="G37" s="71">
        <v>15100</v>
      </c>
      <c r="H37" s="71">
        <v>15100</v>
      </c>
      <c r="I37" s="71">
        <v>15100</v>
      </c>
      <c r="J37" s="71">
        <v>15100</v>
      </c>
      <c r="K37" s="71">
        <v>15100</v>
      </c>
      <c r="L37" s="71">
        <v>15100</v>
      </c>
      <c r="M37" s="71">
        <v>15100</v>
      </c>
      <c r="N37" s="71">
        <v>15100</v>
      </c>
      <c r="O37" s="71">
        <v>15100</v>
      </c>
      <c r="P37" s="71">
        <v>15100</v>
      </c>
      <c r="Q37" s="71">
        <v>15100</v>
      </c>
      <c r="R37" s="71">
        <v>15100</v>
      </c>
      <c r="S37" s="71">
        <v>15100</v>
      </c>
      <c r="T37" s="71">
        <v>15100</v>
      </c>
      <c r="U37" s="71">
        <v>15100</v>
      </c>
      <c r="V37" s="71">
        <v>15100</v>
      </c>
      <c r="W37" s="71">
        <v>15100</v>
      </c>
    </row>
    <row r="38" spans="1:23" x14ac:dyDescent="0.35">
      <c r="B38" s="71" t="s">
        <v>47</v>
      </c>
      <c r="C38" s="71"/>
      <c r="D38" s="79">
        <v>2182.9982602483719</v>
      </c>
      <c r="E38" s="79">
        <f>+D38</f>
        <v>2182.9982602483719</v>
      </c>
      <c r="F38" s="79">
        <f t="shared" ref="F38:W38" si="9">+E38</f>
        <v>2182.9982602483719</v>
      </c>
      <c r="G38" s="79">
        <f t="shared" si="9"/>
        <v>2182.9982602483719</v>
      </c>
      <c r="H38" s="79">
        <f t="shared" si="9"/>
        <v>2182.9982602483719</v>
      </c>
      <c r="I38" s="79">
        <f t="shared" si="9"/>
        <v>2182.9982602483719</v>
      </c>
      <c r="J38" s="79">
        <f t="shared" si="9"/>
        <v>2182.9982602483719</v>
      </c>
      <c r="K38" s="79">
        <f t="shared" si="9"/>
        <v>2182.9982602483719</v>
      </c>
      <c r="L38" s="79">
        <f t="shared" si="9"/>
        <v>2182.9982602483719</v>
      </c>
      <c r="M38" s="79">
        <f t="shared" si="9"/>
        <v>2182.9982602483719</v>
      </c>
      <c r="N38" s="79">
        <f t="shared" si="9"/>
        <v>2182.9982602483719</v>
      </c>
      <c r="O38" s="79">
        <f t="shared" si="9"/>
        <v>2182.9982602483719</v>
      </c>
      <c r="P38" s="79">
        <f t="shared" si="9"/>
        <v>2182.9982602483719</v>
      </c>
      <c r="Q38" s="79">
        <f t="shared" si="9"/>
        <v>2182.9982602483719</v>
      </c>
      <c r="R38" s="79">
        <f t="shared" si="9"/>
        <v>2182.9982602483719</v>
      </c>
      <c r="S38" s="79">
        <f t="shared" si="9"/>
        <v>2182.9982602483719</v>
      </c>
      <c r="T38" s="79">
        <f t="shared" si="9"/>
        <v>2182.9982602483719</v>
      </c>
      <c r="U38" s="79">
        <f t="shared" si="9"/>
        <v>2182.9982602483719</v>
      </c>
      <c r="V38" s="79">
        <f t="shared" si="9"/>
        <v>2182.9982602483719</v>
      </c>
      <c r="W38" s="79">
        <f t="shared" si="9"/>
        <v>2182.9982602483719</v>
      </c>
    </row>
    <row r="39" spans="1:23" x14ac:dyDescent="0.35">
      <c r="B39" s="71" t="s">
        <v>59</v>
      </c>
      <c r="C39" s="71"/>
      <c r="D39" s="79">
        <f>+D54</f>
        <v>12600</v>
      </c>
      <c r="E39" s="79">
        <f t="shared" ref="E39:W39" si="10">+E54</f>
        <v>12600</v>
      </c>
      <c r="F39" s="79">
        <f t="shared" si="10"/>
        <v>12600</v>
      </c>
      <c r="G39" s="79">
        <f t="shared" si="10"/>
        <v>12600</v>
      </c>
      <c r="H39" s="79">
        <f t="shared" si="10"/>
        <v>12600</v>
      </c>
      <c r="I39" s="79">
        <f t="shared" si="10"/>
        <v>600</v>
      </c>
      <c r="J39" s="79">
        <f t="shared" si="10"/>
        <v>600</v>
      </c>
      <c r="K39" s="79">
        <f t="shared" si="10"/>
        <v>600</v>
      </c>
      <c r="L39" s="79">
        <f t="shared" si="10"/>
        <v>600</v>
      </c>
      <c r="M39" s="79">
        <f t="shared" si="10"/>
        <v>600</v>
      </c>
      <c r="N39" s="79">
        <f t="shared" si="10"/>
        <v>600</v>
      </c>
      <c r="O39" s="79">
        <f t="shared" si="10"/>
        <v>600</v>
      </c>
      <c r="P39" s="79">
        <f t="shared" si="10"/>
        <v>600</v>
      </c>
      <c r="Q39" s="79">
        <f t="shared" si="10"/>
        <v>600</v>
      </c>
      <c r="R39" s="79">
        <f t="shared" si="10"/>
        <v>600</v>
      </c>
      <c r="S39" s="79">
        <f t="shared" si="10"/>
        <v>600</v>
      </c>
      <c r="T39" s="79">
        <f t="shared" si="10"/>
        <v>600</v>
      </c>
      <c r="U39" s="79">
        <f t="shared" si="10"/>
        <v>600</v>
      </c>
      <c r="V39" s="79">
        <f t="shared" si="10"/>
        <v>600</v>
      </c>
      <c r="W39" s="79">
        <f t="shared" si="10"/>
        <v>600</v>
      </c>
    </row>
    <row r="40" spans="1:23" x14ac:dyDescent="0.35">
      <c r="B40" s="71" t="s">
        <v>17</v>
      </c>
      <c r="C40" s="71"/>
      <c r="D40" s="79">
        <f>+D37-D38-D39</f>
        <v>317.00173975162761</v>
      </c>
      <c r="E40" s="79">
        <f t="shared" ref="E40:W40" si="11">+E37-E38-E39</f>
        <v>317.00173975162761</v>
      </c>
      <c r="F40" s="79">
        <f t="shared" si="11"/>
        <v>317.00173975162761</v>
      </c>
      <c r="G40" s="79">
        <f t="shared" si="11"/>
        <v>317.00173975162761</v>
      </c>
      <c r="H40" s="79">
        <f t="shared" si="11"/>
        <v>317.00173975162761</v>
      </c>
      <c r="I40" s="79">
        <f t="shared" si="11"/>
        <v>12317.001739751628</v>
      </c>
      <c r="J40" s="79">
        <f t="shared" si="11"/>
        <v>12317.001739751628</v>
      </c>
      <c r="K40" s="79">
        <f t="shared" si="11"/>
        <v>12317.001739751628</v>
      </c>
      <c r="L40" s="79">
        <f t="shared" si="11"/>
        <v>12317.001739751628</v>
      </c>
      <c r="M40" s="79">
        <f t="shared" si="11"/>
        <v>12317.001739751628</v>
      </c>
      <c r="N40" s="79">
        <f t="shared" si="11"/>
        <v>12317.001739751628</v>
      </c>
      <c r="O40" s="79">
        <f t="shared" si="11"/>
        <v>12317.001739751628</v>
      </c>
      <c r="P40" s="79">
        <f t="shared" si="11"/>
        <v>12317.001739751628</v>
      </c>
      <c r="Q40" s="79">
        <f t="shared" si="11"/>
        <v>12317.001739751628</v>
      </c>
      <c r="R40" s="79">
        <f t="shared" si="11"/>
        <v>12317.001739751628</v>
      </c>
      <c r="S40" s="79">
        <f t="shared" si="11"/>
        <v>12317.001739751628</v>
      </c>
      <c r="T40" s="79">
        <f t="shared" si="11"/>
        <v>12317.001739751628</v>
      </c>
      <c r="U40" s="79">
        <f t="shared" si="11"/>
        <v>12317.001739751628</v>
      </c>
      <c r="V40" s="79">
        <f t="shared" si="11"/>
        <v>12317.001739751628</v>
      </c>
      <c r="W40" s="79">
        <f t="shared" si="11"/>
        <v>12317.001739751628</v>
      </c>
    </row>
    <row r="41" spans="1:23" x14ac:dyDescent="0.35">
      <c r="B41" s="71" t="s">
        <v>21</v>
      </c>
      <c r="C41" s="71"/>
      <c r="D41" s="79">
        <v>0</v>
      </c>
      <c r="E41" s="79">
        <v>0</v>
      </c>
      <c r="F41" s="79">
        <v>0</v>
      </c>
      <c r="G41" s="79">
        <v>0</v>
      </c>
      <c r="H41" s="79">
        <v>0</v>
      </c>
      <c r="I41" s="79">
        <v>0</v>
      </c>
      <c r="J41" s="79">
        <v>0</v>
      </c>
      <c r="K41" s="79">
        <v>0</v>
      </c>
      <c r="L41" s="79">
        <v>0</v>
      </c>
      <c r="M41" s="79">
        <v>0</v>
      </c>
      <c r="N41" s="79">
        <v>0</v>
      </c>
      <c r="O41" s="79">
        <v>0</v>
      </c>
      <c r="P41" s="79">
        <v>0</v>
      </c>
      <c r="Q41" s="79">
        <v>0</v>
      </c>
      <c r="R41" s="79">
        <v>0</v>
      </c>
      <c r="S41" s="79">
        <v>0</v>
      </c>
      <c r="T41" s="79">
        <v>0</v>
      </c>
      <c r="U41" s="79">
        <v>0</v>
      </c>
      <c r="V41" s="79">
        <v>0</v>
      </c>
      <c r="W41" s="79">
        <v>0</v>
      </c>
    </row>
    <row r="42" spans="1:23" x14ac:dyDescent="0.35">
      <c r="B42" s="71" t="s">
        <v>41</v>
      </c>
      <c r="C42" s="71"/>
      <c r="D42" s="79">
        <f>+D40-D41</f>
        <v>317.00173975162761</v>
      </c>
      <c r="E42" s="79">
        <f t="shared" ref="E42:W42" si="12">+E40-E41</f>
        <v>317.00173975162761</v>
      </c>
      <c r="F42" s="79">
        <f t="shared" si="12"/>
        <v>317.00173975162761</v>
      </c>
      <c r="G42" s="79">
        <f t="shared" si="12"/>
        <v>317.00173975162761</v>
      </c>
      <c r="H42" s="79">
        <f t="shared" si="12"/>
        <v>317.00173975162761</v>
      </c>
      <c r="I42" s="79">
        <f t="shared" si="12"/>
        <v>12317.001739751628</v>
      </c>
      <c r="J42" s="79">
        <f t="shared" si="12"/>
        <v>12317.001739751628</v>
      </c>
      <c r="K42" s="79">
        <f t="shared" si="12"/>
        <v>12317.001739751628</v>
      </c>
      <c r="L42" s="79">
        <f t="shared" si="12"/>
        <v>12317.001739751628</v>
      </c>
      <c r="M42" s="79">
        <f t="shared" si="12"/>
        <v>12317.001739751628</v>
      </c>
      <c r="N42" s="79">
        <f t="shared" si="12"/>
        <v>12317.001739751628</v>
      </c>
      <c r="O42" s="79">
        <f t="shared" si="12"/>
        <v>12317.001739751628</v>
      </c>
      <c r="P42" s="79">
        <f t="shared" si="12"/>
        <v>12317.001739751628</v>
      </c>
      <c r="Q42" s="79">
        <f t="shared" si="12"/>
        <v>12317.001739751628</v>
      </c>
      <c r="R42" s="79">
        <f t="shared" si="12"/>
        <v>12317.001739751628</v>
      </c>
      <c r="S42" s="79">
        <f t="shared" si="12"/>
        <v>12317.001739751628</v>
      </c>
      <c r="T42" s="79">
        <f t="shared" si="12"/>
        <v>12317.001739751628</v>
      </c>
      <c r="U42" s="79">
        <f t="shared" si="12"/>
        <v>12317.001739751628</v>
      </c>
      <c r="V42" s="79">
        <f t="shared" si="12"/>
        <v>12317.001739751628</v>
      </c>
      <c r="W42" s="79">
        <f t="shared" si="12"/>
        <v>12317.001739751628</v>
      </c>
    </row>
    <row r="43" spans="1:23" x14ac:dyDescent="0.35">
      <c r="B43" s="71" t="s">
        <v>21</v>
      </c>
      <c r="C43" s="71"/>
      <c r="D43" s="79">
        <f>IF(D42&lt;0, 0, D42*0.3)</f>
        <v>95.10052192548828</v>
      </c>
      <c r="E43" s="79">
        <f t="shared" ref="E43:W43" si="13">IF(E42&lt;0, 0, E42*0.3)</f>
        <v>95.10052192548828</v>
      </c>
      <c r="F43" s="79">
        <f t="shared" si="13"/>
        <v>95.10052192548828</v>
      </c>
      <c r="G43" s="79">
        <f t="shared" si="13"/>
        <v>95.10052192548828</v>
      </c>
      <c r="H43" s="79">
        <f t="shared" si="13"/>
        <v>95.10052192548828</v>
      </c>
      <c r="I43" s="79">
        <f t="shared" si="13"/>
        <v>3695.100521925488</v>
      </c>
      <c r="J43" s="79">
        <f t="shared" si="13"/>
        <v>3695.100521925488</v>
      </c>
      <c r="K43" s="79">
        <f t="shared" si="13"/>
        <v>3695.100521925488</v>
      </c>
      <c r="L43" s="79">
        <f t="shared" si="13"/>
        <v>3695.100521925488</v>
      </c>
      <c r="M43" s="79">
        <f t="shared" si="13"/>
        <v>3695.100521925488</v>
      </c>
      <c r="N43" s="79">
        <f t="shared" si="13"/>
        <v>3695.100521925488</v>
      </c>
      <c r="O43" s="79">
        <f t="shared" si="13"/>
        <v>3695.100521925488</v>
      </c>
      <c r="P43" s="79">
        <f t="shared" si="13"/>
        <v>3695.100521925488</v>
      </c>
      <c r="Q43" s="79">
        <f t="shared" si="13"/>
        <v>3695.100521925488</v>
      </c>
      <c r="R43" s="79">
        <f t="shared" si="13"/>
        <v>3695.100521925488</v>
      </c>
      <c r="S43" s="79">
        <f t="shared" si="13"/>
        <v>3695.100521925488</v>
      </c>
      <c r="T43" s="79">
        <f t="shared" si="13"/>
        <v>3695.100521925488</v>
      </c>
      <c r="U43" s="79">
        <f t="shared" si="13"/>
        <v>3695.100521925488</v>
      </c>
      <c r="V43" s="79">
        <f t="shared" si="13"/>
        <v>3695.100521925488</v>
      </c>
      <c r="W43" s="79">
        <f t="shared" si="13"/>
        <v>3695.100521925488</v>
      </c>
    </row>
    <row r="44" spans="1:23" x14ac:dyDescent="0.35">
      <c r="B44" s="71" t="s">
        <v>18</v>
      </c>
      <c r="C44" s="71"/>
      <c r="D44" s="79">
        <f>+D42-D43</f>
        <v>221.90121782613932</v>
      </c>
      <c r="E44" s="79">
        <f t="shared" ref="E44:W44" si="14">+E42-E43</f>
        <v>221.90121782613932</v>
      </c>
      <c r="F44" s="79">
        <f t="shared" si="14"/>
        <v>221.90121782613932</v>
      </c>
      <c r="G44" s="79">
        <f t="shared" si="14"/>
        <v>221.90121782613932</v>
      </c>
      <c r="H44" s="79">
        <f t="shared" si="14"/>
        <v>221.90121782613932</v>
      </c>
      <c r="I44" s="79">
        <f t="shared" si="14"/>
        <v>8621.9012178261401</v>
      </c>
      <c r="J44" s="79">
        <f t="shared" si="14"/>
        <v>8621.9012178261401</v>
      </c>
      <c r="K44" s="79">
        <f t="shared" si="14"/>
        <v>8621.9012178261401</v>
      </c>
      <c r="L44" s="79">
        <f t="shared" si="14"/>
        <v>8621.9012178261401</v>
      </c>
      <c r="M44" s="79">
        <f t="shared" si="14"/>
        <v>8621.9012178261401</v>
      </c>
      <c r="N44" s="79">
        <f t="shared" si="14"/>
        <v>8621.9012178261401</v>
      </c>
      <c r="O44" s="79">
        <f t="shared" si="14"/>
        <v>8621.9012178261401</v>
      </c>
      <c r="P44" s="79">
        <f t="shared" si="14"/>
        <v>8621.9012178261401</v>
      </c>
      <c r="Q44" s="79">
        <f t="shared" si="14"/>
        <v>8621.9012178261401</v>
      </c>
      <c r="R44" s="79">
        <f t="shared" si="14"/>
        <v>8621.9012178261401</v>
      </c>
      <c r="S44" s="79">
        <f t="shared" si="14"/>
        <v>8621.9012178261401</v>
      </c>
      <c r="T44" s="79">
        <f t="shared" si="14"/>
        <v>8621.9012178261401</v>
      </c>
      <c r="U44" s="79">
        <f t="shared" si="14"/>
        <v>8621.9012178261401</v>
      </c>
      <c r="V44" s="79">
        <f t="shared" si="14"/>
        <v>8621.9012178261401</v>
      </c>
      <c r="W44" s="79">
        <f t="shared" si="14"/>
        <v>8621.9012178261401</v>
      </c>
    </row>
    <row r="45" spans="1:23" x14ac:dyDescent="0.35">
      <c r="B45" s="71" t="s">
        <v>24</v>
      </c>
      <c r="C45" s="71">
        <f>-C35</f>
        <v>-72000</v>
      </c>
      <c r="D45" s="79">
        <f>+D44+D39</f>
        <v>12821.90121782614</v>
      </c>
      <c r="E45" s="79">
        <f t="shared" ref="E45:W45" si="15">+E44+E39</f>
        <v>12821.90121782614</v>
      </c>
      <c r="F45" s="79">
        <f t="shared" si="15"/>
        <v>12821.90121782614</v>
      </c>
      <c r="G45" s="79">
        <f t="shared" si="15"/>
        <v>12821.90121782614</v>
      </c>
      <c r="H45" s="79">
        <f t="shared" si="15"/>
        <v>12821.90121782614</v>
      </c>
      <c r="I45" s="79">
        <f t="shared" si="15"/>
        <v>9221.9012178261401</v>
      </c>
      <c r="J45" s="79">
        <f t="shared" si="15"/>
        <v>9221.9012178261401</v>
      </c>
      <c r="K45" s="79">
        <f t="shared" si="15"/>
        <v>9221.9012178261401</v>
      </c>
      <c r="L45" s="79">
        <f t="shared" si="15"/>
        <v>9221.9012178261401</v>
      </c>
      <c r="M45" s="79">
        <f t="shared" si="15"/>
        <v>9221.9012178261401</v>
      </c>
      <c r="N45" s="79">
        <f t="shared" si="15"/>
        <v>9221.9012178261401</v>
      </c>
      <c r="O45" s="79">
        <f t="shared" si="15"/>
        <v>9221.9012178261401</v>
      </c>
      <c r="P45" s="79">
        <f t="shared" si="15"/>
        <v>9221.9012178261401</v>
      </c>
      <c r="Q45" s="79">
        <f t="shared" si="15"/>
        <v>9221.9012178261401</v>
      </c>
      <c r="R45" s="79">
        <f t="shared" si="15"/>
        <v>9221.9012178261401</v>
      </c>
      <c r="S45" s="79">
        <f t="shared" si="15"/>
        <v>9221.9012178261401</v>
      </c>
      <c r="T45" s="79">
        <f t="shared" si="15"/>
        <v>9221.9012178261401</v>
      </c>
      <c r="U45" s="79">
        <f t="shared" si="15"/>
        <v>9221.9012178261401</v>
      </c>
      <c r="V45" s="79">
        <f t="shared" si="15"/>
        <v>9221.9012178261401</v>
      </c>
      <c r="W45" s="79">
        <f t="shared" si="15"/>
        <v>9221.9012178261401</v>
      </c>
    </row>
    <row r="46" spans="1:23" x14ac:dyDescent="0.35">
      <c r="B46" s="74" t="s">
        <v>42</v>
      </c>
      <c r="C46" s="75">
        <f>NPV(C33,D45:W45)</f>
        <v>81859.665584112357</v>
      </c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</row>
    <row r="47" spans="1:23" ht="15" thickBot="1" x14ac:dyDescent="0.4">
      <c r="B47" s="74" t="s">
        <v>22</v>
      </c>
      <c r="C47" s="77">
        <f>+C45+C46</f>
        <v>9859.6655841123575</v>
      </c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</row>
    <row r="48" spans="1:23" ht="15" thickBot="1" x14ac:dyDescent="0.4">
      <c r="B48" s="113" t="s">
        <v>52</v>
      </c>
      <c r="C48" s="114">
        <f>-PMT(C33,20,C47)</f>
        <v>1319.9999999999907</v>
      </c>
      <c r="D48" s="76"/>
      <c r="E48" s="76" t="s">
        <v>176</v>
      </c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</row>
    <row r="50" spans="1:23" x14ac:dyDescent="0.35">
      <c r="A50" s="66" t="s">
        <v>16</v>
      </c>
    </row>
    <row r="51" spans="1:23" x14ac:dyDescent="0.35">
      <c r="B51" s="66" t="s">
        <v>4</v>
      </c>
      <c r="C51" s="66">
        <f>+C35</f>
        <v>72000</v>
      </c>
    </row>
    <row r="52" spans="1:23" x14ac:dyDescent="0.35">
      <c r="B52" s="71" t="s">
        <v>151</v>
      </c>
      <c r="C52" s="71"/>
      <c r="D52" s="71">
        <f>+C7/D7</f>
        <v>12000</v>
      </c>
      <c r="E52" s="71">
        <f>+D52</f>
        <v>12000</v>
      </c>
      <c r="F52" s="71">
        <f t="shared" ref="F52:U53" si="16">+E52</f>
        <v>12000</v>
      </c>
      <c r="G52" s="71">
        <f t="shared" si="16"/>
        <v>12000</v>
      </c>
      <c r="H52" s="71">
        <f t="shared" si="16"/>
        <v>12000</v>
      </c>
      <c r="I52" s="71">
        <v>0</v>
      </c>
      <c r="J52" s="71">
        <v>0</v>
      </c>
      <c r="K52" s="71">
        <v>0</v>
      </c>
      <c r="L52" s="71">
        <v>0</v>
      </c>
      <c r="M52" s="71">
        <v>0</v>
      </c>
      <c r="N52" s="71">
        <v>0</v>
      </c>
      <c r="O52" s="71">
        <v>0</v>
      </c>
      <c r="P52" s="71">
        <v>0</v>
      </c>
      <c r="Q52" s="71">
        <v>0</v>
      </c>
      <c r="R52" s="71">
        <v>0</v>
      </c>
      <c r="S52" s="71">
        <v>0</v>
      </c>
      <c r="T52" s="71">
        <v>0</v>
      </c>
      <c r="U52" s="71">
        <v>0</v>
      </c>
      <c r="V52" s="71">
        <v>0</v>
      </c>
      <c r="W52" s="71">
        <v>0</v>
      </c>
    </row>
    <row r="53" spans="1:23" x14ac:dyDescent="0.35">
      <c r="B53" s="71" t="s">
        <v>152</v>
      </c>
      <c r="C53" s="71"/>
      <c r="D53" s="71">
        <f>+E7/F7</f>
        <v>600</v>
      </c>
      <c r="E53" s="71">
        <f>+D53</f>
        <v>600</v>
      </c>
      <c r="F53" s="71">
        <f t="shared" si="16"/>
        <v>600</v>
      </c>
      <c r="G53" s="71">
        <f t="shared" si="16"/>
        <v>600</v>
      </c>
      <c r="H53" s="71">
        <f t="shared" si="16"/>
        <v>600</v>
      </c>
      <c r="I53" s="71">
        <f t="shared" si="16"/>
        <v>600</v>
      </c>
      <c r="J53" s="71">
        <f t="shared" si="16"/>
        <v>600</v>
      </c>
      <c r="K53" s="71">
        <f t="shared" si="16"/>
        <v>600</v>
      </c>
      <c r="L53" s="71">
        <f t="shared" si="16"/>
        <v>600</v>
      </c>
      <c r="M53" s="71">
        <f t="shared" si="16"/>
        <v>600</v>
      </c>
      <c r="N53" s="71">
        <f t="shared" si="16"/>
        <v>600</v>
      </c>
      <c r="O53" s="71">
        <f t="shared" si="16"/>
        <v>600</v>
      </c>
      <c r="P53" s="71">
        <f t="shared" si="16"/>
        <v>600</v>
      </c>
      <c r="Q53" s="71">
        <f t="shared" si="16"/>
        <v>600</v>
      </c>
      <c r="R53" s="71">
        <f t="shared" si="16"/>
        <v>600</v>
      </c>
      <c r="S53" s="71">
        <f t="shared" si="16"/>
        <v>600</v>
      </c>
      <c r="T53" s="71">
        <f t="shared" si="16"/>
        <v>600</v>
      </c>
      <c r="U53" s="71">
        <f t="shared" si="16"/>
        <v>600</v>
      </c>
      <c r="V53" s="71">
        <f t="shared" ref="V53:W53" si="17">+U53</f>
        <v>600</v>
      </c>
      <c r="W53" s="71">
        <f t="shared" si="17"/>
        <v>600</v>
      </c>
    </row>
    <row r="54" spans="1:23" x14ac:dyDescent="0.35">
      <c r="B54" s="71" t="s">
        <v>59</v>
      </c>
      <c r="C54" s="71"/>
      <c r="D54" s="71">
        <f>+D52+D53</f>
        <v>12600</v>
      </c>
      <c r="E54" s="71">
        <f t="shared" ref="E54:W54" si="18">+E52+E53</f>
        <v>12600</v>
      </c>
      <c r="F54" s="71">
        <f t="shared" si="18"/>
        <v>12600</v>
      </c>
      <c r="G54" s="71">
        <f t="shared" si="18"/>
        <v>12600</v>
      </c>
      <c r="H54" s="71">
        <f t="shared" si="18"/>
        <v>12600</v>
      </c>
      <c r="I54" s="71">
        <f t="shared" si="18"/>
        <v>600</v>
      </c>
      <c r="J54" s="71">
        <f t="shared" si="18"/>
        <v>600</v>
      </c>
      <c r="K54" s="71">
        <f t="shared" si="18"/>
        <v>600</v>
      </c>
      <c r="L54" s="71">
        <f t="shared" si="18"/>
        <v>600</v>
      </c>
      <c r="M54" s="71">
        <f t="shared" si="18"/>
        <v>600</v>
      </c>
      <c r="N54" s="71">
        <f t="shared" si="18"/>
        <v>600</v>
      </c>
      <c r="O54" s="71">
        <f t="shared" si="18"/>
        <v>600</v>
      </c>
      <c r="P54" s="71">
        <f t="shared" si="18"/>
        <v>600</v>
      </c>
      <c r="Q54" s="71">
        <f t="shared" si="18"/>
        <v>600</v>
      </c>
      <c r="R54" s="71">
        <f t="shared" si="18"/>
        <v>600</v>
      </c>
      <c r="S54" s="71">
        <f t="shared" si="18"/>
        <v>600</v>
      </c>
      <c r="T54" s="71">
        <f t="shared" si="18"/>
        <v>600</v>
      </c>
      <c r="U54" s="71">
        <f t="shared" si="18"/>
        <v>600</v>
      </c>
      <c r="V54" s="71">
        <f t="shared" si="18"/>
        <v>600</v>
      </c>
      <c r="W54" s="71">
        <f t="shared" si="18"/>
        <v>600</v>
      </c>
    </row>
    <row r="58" spans="1:23" x14ac:dyDescent="0.35">
      <c r="A58" s="72" t="s">
        <v>153</v>
      </c>
    </row>
    <row r="60" spans="1:23" x14ac:dyDescent="0.35">
      <c r="B60" s="66" t="s">
        <v>144</v>
      </c>
    </row>
    <row r="61" spans="1:23" x14ac:dyDescent="0.35">
      <c r="C61" s="80" t="s">
        <v>146</v>
      </c>
      <c r="D61" s="80"/>
      <c r="E61" s="80" t="s">
        <v>147</v>
      </c>
      <c r="F61" s="80"/>
    </row>
    <row r="62" spans="1:23" x14ac:dyDescent="0.35">
      <c r="C62" s="81" t="s">
        <v>38</v>
      </c>
      <c r="D62" s="81" t="s">
        <v>13</v>
      </c>
      <c r="E62" s="81" t="s">
        <v>38</v>
      </c>
      <c r="F62" s="81" t="s">
        <v>13</v>
      </c>
    </row>
    <row r="63" spans="1:23" x14ac:dyDescent="0.35">
      <c r="B63" s="71" t="s">
        <v>148</v>
      </c>
      <c r="C63" s="71">
        <v>12000</v>
      </c>
      <c r="D63" s="71">
        <v>4</v>
      </c>
      <c r="E63" s="71">
        <v>60000</v>
      </c>
      <c r="F63" s="71">
        <v>15</v>
      </c>
    </row>
    <row r="64" spans="1:23" x14ac:dyDescent="0.35">
      <c r="B64" s="71" t="s">
        <v>149</v>
      </c>
      <c r="C64" s="71">
        <v>60000</v>
      </c>
      <c r="D64" s="71">
        <v>5</v>
      </c>
      <c r="E64" s="71">
        <v>12000</v>
      </c>
      <c r="F64" s="71">
        <v>20</v>
      </c>
    </row>
    <row r="66" spans="1:18" x14ac:dyDescent="0.35">
      <c r="B66" s="66" t="s">
        <v>45</v>
      </c>
      <c r="C66" s="73">
        <v>0.12</v>
      </c>
    </row>
    <row r="67" spans="1:18" x14ac:dyDescent="0.35">
      <c r="A67" s="72" t="s">
        <v>148</v>
      </c>
      <c r="B67" s="71"/>
      <c r="C67" s="71">
        <v>0</v>
      </c>
      <c r="D67" s="71">
        <v>1</v>
      </c>
      <c r="E67" s="71">
        <v>2</v>
      </c>
      <c r="F67" s="71">
        <v>3</v>
      </c>
      <c r="G67" s="71">
        <v>4</v>
      </c>
      <c r="H67" s="71">
        <v>5</v>
      </c>
      <c r="I67" s="71">
        <v>6</v>
      </c>
      <c r="J67" s="71">
        <v>7</v>
      </c>
      <c r="K67" s="71">
        <v>8</v>
      </c>
      <c r="L67" s="71">
        <v>9</v>
      </c>
      <c r="M67" s="71">
        <v>10</v>
      </c>
      <c r="N67" s="71">
        <v>11</v>
      </c>
      <c r="O67" s="71">
        <v>12</v>
      </c>
      <c r="P67" s="71">
        <v>13</v>
      </c>
      <c r="Q67" s="71">
        <v>14</v>
      </c>
      <c r="R67" s="71">
        <v>15</v>
      </c>
    </row>
    <row r="68" spans="1:18" x14ac:dyDescent="0.35">
      <c r="B68" s="71" t="s">
        <v>4</v>
      </c>
      <c r="C68" s="71">
        <f>+C63+E63</f>
        <v>72000</v>
      </c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</row>
    <row r="69" spans="1:18" x14ac:dyDescent="0.35">
      <c r="B69" s="71" t="s">
        <v>37</v>
      </c>
      <c r="C69" s="71">
        <f>0.8*E63</f>
        <v>48000</v>
      </c>
      <c r="D69" s="82">
        <f>+D92</f>
        <v>0</v>
      </c>
      <c r="E69" s="82">
        <f t="shared" ref="E69:R69" si="19">+E92</f>
        <v>0</v>
      </c>
      <c r="F69" s="82">
        <f t="shared" si="19"/>
        <v>0</v>
      </c>
      <c r="G69" s="82">
        <f t="shared" si="19"/>
        <v>0</v>
      </c>
      <c r="H69" s="82">
        <f t="shared" si="19"/>
        <v>0</v>
      </c>
      <c r="I69" s="82">
        <f t="shared" si="19"/>
        <v>0</v>
      </c>
      <c r="J69" s="82">
        <f t="shared" si="19"/>
        <v>0</v>
      </c>
      <c r="K69" s="82">
        <f t="shared" si="19"/>
        <v>0</v>
      </c>
      <c r="L69" s="82">
        <f t="shared" si="19"/>
        <v>0</v>
      </c>
      <c r="M69" s="82">
        <f t="shared" si="19"/>
        <v>0</v>
      </c>
      <c r="N69" s="82">
        <f t="shared" si="19"/>
        <v>0</v>
      </c>
      <c r="O69" s="82">
        <f t="shared" si="19"/>
        <v>0</v>
      </c>
      <c r="P69" s="82">
        <f t="shared" si="19"/>
        <v>0</v>
      </c>
      <c r="Q69" s="82">
        <f t="shared" si="19"/>
        <v>0</v>
      </c>
      <c r="R69" s="82">
        <f t="shared" si="19"/>
        <v>48000</v>
      </c>
    </row>
    <row r="70" spans="1:18" x14ac:dyDescent="0.35">
      <c r="B70" s="71" t="s">
        <v>14</v>
      </c>
      <c r="C70" s="71"/>
      <c r="D70" s="71">
        <v>16000</v>
      </c>
      <c r="E70" s="71">
        <v>16000</v>
      </c>
      <c r="F70" s="71">
        <v>16000</v>
      </c>
      <c r="G70" s="71">
        <v>16000</v>
      </c>
      <c r="H70" s="71">
        <v>16000</v>
      </c>
      <c r="I70" s="71">
        <v>16000</v>
      </c>
      <c r="J70" s="71">
        <v>16000</v>
      </c>
      <c r="K70" s="71">
        <v>16000</v>
      </c>
      <c r="L70" s="71">
        <v>16000</v>
      </c>
      <c r="M70" s="71">
        <v>16000</v>
      </c>
      <c r="N70" s="71">
        <v>16000</v>
      </c>
      <c r="O70" s="71">
        <v>16000</v>
      </c>
      <c r="P70" s="71">
        <v>16000</v>
      </c>
      <c r="Q70" s="71">
        <v>16000</v>
      </c>
      <c r="R70" s="71">
        <v>16000</v>
      </c>
    </row>
    <row r="71" spans="1:18" x14ac:dyDescent="0.35">
      <c r="B71" s="71" t="s">
        <v>47</v>
      </c>
      <c r="C71" s="71"/>
      <c r="D71" s="71">
        <v>1300</v>
      </c>
      <c r="E71" s="71">
        <v>1300</v>
      </c>
      <c r="F71" s="71">
        <v>1300</v>
      </c>
      <c r="G71" s="71">
        <v>1300</v>
      </c>
      <c r="H71" s="71">
        <v>1300</v>
      </c>
      <c r="I71" s="71">
        <v>1300</v>
      </c>
      <c r="J71" s="71">
        <v>1300</v>
      </c>
      <c r="K71" s="71">
        <v>1300</v>
      </c>
      <c r="L71" s="71">
        <v>1300</v>
      </c>
      <c r="M71" s="71">
        <v>1300</v>
      </c>
      <c r="N71" s="71">
        <v>1300</v>
      </c>
      <c r="O71" s="71">
        <v>1300</v>
      </c>
      <c r="P71" s="71">
        <v>1300</v>
      </c>
      <c r="Q71" s="71">
        <v>1300</v>
      </c>
      <c r="R71" s="71">
        <v>1300</v>
      </c>
    </row>
    <row r="72" spans="1:18" x14ac:dyDescent="0.35">
      <c r="B72" s="71" t="s">
        <v>59</v>
      </c>
      <c r="C72" s="71"/>
      <c r="D72" s="71">
        <f>+D87</f>
        <v>7000</v>
      </c>
      <c r="E72" s="71">
        <f t="shared" ref="E72:R72" si="20">+E87</f>
        <v>7000</v>
      </c>
      <c r="F72" s="71">
        <f t="shared" si="20"/>
        <v>7000</v>
      </c>
      <c r="G72" s="71">
        <f t="shared" si="20"/>
        <v>7000</v>
      </c>
      <c r="H72" s="71">
        <f t="shared" si="20"/>
        <v>4000</v>
      </c>
      <c r="I72" s="71">
        <f t="shared" si="20"/>
        <v>4000</v>
      </c>
      <c r="J72" s="71">
        <f t="shared" si="20"/>
        <v>4000</v>
      </c>
      <c r="K72" s="71">
        <f t="shared" si="20"/>
        <v>4000</v>
      </c>
      <c r="L72" s="71">
        <f t="shared" si="20"/>
        <v>4000</v>
      </c>
      <c r="M72" s="71">
        <f t="shared" si="20"/>
        <v>4000</v>
      </c>
      <c r="N72" s="71">
        <f t="shared" si="20"/>
        <v>4000</v>
      </c>
      <c r="O72" s="71">
        <f t="shared" si="20"/>
        <v>4000</v>
      </c>
      <c r="P72" s="71">
        <f t="shared" si="20"/>
        <v>4000</v>
      </c>
      <c r="Q72" s="71">
        <f t="shared" si="20"/>
        <v>4000</v>
      </c>
      <c r="R72" s="71">
        <f t="shared" si="20"/>
        <v>4000</v>
      </c>
    </row>
    <row r="73" spans="1:18" x14ac:dyDescent="0.35">
      <c r="B73" s="71" t="s">
        <v>17</v>
      </c>
      <c r="C73" s="71"/>
      <c r="D73" s="71">
        <f>+D70-D71-D72</f>
        <v>7700</v>
      </c>
      <c r="E73" s="71">
        <f t="shared" ref="E73:R73" si="21">+E70-E71-E72</f>
        <v>7700</v>
      </c>
      <c r="F73" s="71">
        <f t="shared" si="21"/>
        <v>7700</v>
      </c>
      <c r="G73" s="71">
        <f t="shared" si="21"/>
        <v>7700</v>
      </c>
      <c r="H73" s="71">
        <f t="shared" si="21"/>
        <v>10700</v>
      </c>
      <c r="I73" s="71">
        <f t="shared" si="21"/>
        <v>10700</v>
      </c>
      <c r="J73" s="71">
        <f t="shared" si="21"/>
        <v>10700</v>
      </c>
      <c r="K73" s="71">
        <f t="shared" si="21"/>
        <v>10700</v>
      </c>
      <c r="L73" s="71">
        <f t="shared" si="21"/>
        <v>10700</v>
      </c>
      <c r="M73" s="71">
        <f t="shared" si="21"/>
        <v>10700</v>
      </c>
      <c r="N73" s="71">
        <f t="shared" si="21"/>
        <v>10700</v>
      </c>
      <c r="O73" s="71">
        <f t="shared" si="21"/>
        <v>10700</v>
      </c>
      <c r="P73" s="71">
        <f t="shared" si="21"/>
        <v>10700</v>
      </c>
      <c r="Q73" s="71">
        <f t="shared" si="21"/>
        <v>10700</v>
      </c>
      <c r="R73" s="71">
        <f t="shared" si="21"/>
        <v>10700</v>
      </c>
    </row>
    <row r="74" spans="1:18" x14ac:dyDescent="0.35">
      <c r="B74" s="71" t="s">
        <v>21</v>
      </c>
      <c r="C74" s="71"/>
      <c r="D74" s="71">
        <f>+D91</f>
        <v>4800</v>
      </c>
      <c r="E74" s="71">
        <f t="shared" ref="E74:R74" si="22">+E91</f>
        <v>4800</v>
      </c>
      <c r="F74" s="71">
        <f t="shared" si="22"/>
        <v>4800</v>
      </c>
      <c r="G74" s="71">
        <f t="shared" si="22"/>
        <v>4800</v>
      </c>
      <c r="H74" s="71">
        <f t="shared" si="22"/>
        <v>4800</v>
      </c>
      <c r="I74" s="71">
        <f t="shared" si="22"/>
        <v>4800</v>
      </c>
      <c r="J74" s="71">
        <f t="shared" si="22"/>
        <v>4800</v>
      </c>
      <c r="K74" s="71">
        <f t="shared" si="22"/>
        <v>4800</v>
      </c>
      <c r="L74" s="71">
        <f t="shared" si="22"/>
        <v>4800</v>
      </c>
      <c r="M74" s="71">
        <f t="shared" si="22"/>
        <v>4800</v>
      </c>
      <c r="N74" s="71">
        <f t="shared" si="22"/>
        <v>4800</v>
      </c>
      <c r="O74" s="71">
        <f t="shared" si="22"/>
        <v>4800</v>
      </c>
      <c r="P74" s="71">
        <f t="shared" si="22"/>
        <v>4800</v>
      </c>
      <c r="Q74" s="71">
        <f t="shared" si="22"/>
        <v>4800</v>
      </c>
      <c r="R74" s="71">
        <f t="shared" si="22"/>
        <v>4800</v>
      </c>
    </row>
    <row r="75" spans="1:18" x14ac:dyDescent="0.35">
      <c r="B75" s="71" t="s">
        <v>41</v>
      </c>
      <c r="C75" s="71"/>
      <c r="D75" s="71">
        <f>+D73-D74</f>
        <v>2900</v>
      </c>
      <c r="E75" s="71">
        <f t="shared" ref="E75:R75" si="23">+E73-E74</f>
        <v>2900</v>
      </c>
      <c r="F75" s="71">
        <f t="shared" si="23"/>
        <v>2900</v>
      </c>
      <c r="G75" s="71">
        <f t="shared" si="23"/>
        <v>2900</v>
      </c>
      <c r="H75" s="71">
        <f t="shared" si="23"/>
        <v>5900</v>
      </c>
      <c r="I75" s="71">
        <f t="shared" si="23"/>
        <v>5900</v>
      </c>
      <c r="J75" s="71">
        <f t="shared" si="23"/>
        <v>5900</v>
      </c>
      <c r="K75" s="71">
        <f t="shared" si="23"/>
        <v>5900</v>
      </c>
      <c r="L75" s="71">
        <f t="shared" si="23"/>
        <v>5900</v>
      </c>
      <c r="M75" s="71">
        <f t="shared" si="23"/>
        <v>5900</v>
      </c>
      <c r="N75" s="71">
        <f t="shared" si="23"/>
        <v>5900</v>
      </c>
      <c r="O75" s="71">
        <f t="shared" si="23"/>
        <v>5900</v>
      </c>
      <c r="P75" s="71">
        <f t="shared" si="23"/>
        <v>5900</v>
      </c>
      <c r="Q75" s="71">
        <f t="shared" si="23"/>
        <v>5900</v>
      </c>
      <c r="R75" s="71">
        <f t="shared" si="23"/>
        <v>5900</v>
      </c>
    </row>
    <row r="76" spans="1:18" x14ac:dyDescent="0.35">
      <c r="B76" s="71" t="s">
        <v>21</v>
      </c>
      <c r="C76" s="71"/>
      <c r="D76" s="71">
        <f>IF(D75&lt;0, 0, D75*0.3)</f>
        <v>870</v>
      </c>
      <c r="E76" s="71">
        <f t="shared" ref="E76:R76" si="24">IF(E75&lt;0, 0, E75*0.3)</f>
        <v>870</v>
      </c>
      <c r="F76" s="71">
        <f t="shared" si="24"/>
        <v>870</v>
      </c>
      <c r="G76" s="71">
        <f t="shared" si="24"/>
        <v>870</v>
      </c>
      <c r="H76" s="71">
        <f t="shared" si="24"/>
        <v>1770</v>
      </c>
      <c r="I76" s="71">
        <f t="shared" si="24"/>
        <v>1770</v>
      </c>
      <c r="J76" s="71">
        <f t="shared" si="24"/>
        <v>1770</v>
      </c>
      <c r="K76" s="71">
        <f t="shared" si="24"/>
        <v>1770</v>
      </c>
      <c r="L76" s="71">
        <f t="shared" si="24"/>
        <v>1770</v>
      </c>
      <c r="M76" s="71">
        <f t="shared" si="24"/>
        <v>1770</v>
      </c>
      <c r="N76" s="71">
        <f t="shared" si="24"/>
        <v>1770</v>
      </c>
      <c r="O76" s="71">
        <f t="shared" si="24"/>
        <v>1770</v>
      </c>
      <c r="P76" s="71">
        <f t="shared" si="24"/>
        <v>1770</v>
      </c>
      <c r="Q76" s="71">
        <f t="shared" si="24"/>
        <v>1770</v>
      </c>
      <c r="R76" s="71">
        <f t="shared" si="24"/>
        <v>1770</v>
      </c>
    </row>
    <row r="77" spans="1:18" x14ac:dyDescent="0.35">
      <c r="B77" s="71" t="s">
        <v>18</v>
      </c>
      <c r="C77" s="71"/>
      <c r="D77" s="71">
        <f>+D75-D76</f>
        <v>2030</v>
      </c>
      <c r="E77" s="71">
        <f t="shared" ref="E77:R77" si="25">+E75-E76</f>
        <v>2030</v>
      </c>
      <c r="F77" s="71">
        <f t="shared" si="25"/>
        <v>2030</v>
      </c>
      <c r="G77" s="71">
        <f t="shared" si="25"/>
        <v>2030</v>
      </c>
      <c r="H77" s="71">
        <f t="shared" si="25"/>
        <v>4130</v>
      </c>
      <c r="I77" s="71">
        <f t="shared" si="25"/>
        <v>4130</v>
      </c>
      <c r="J77" s="71">
        <f t="shared" si="25"/>
        <v>4130</v>
      </c>
      <c r="K77" s="71">
        <f t="shared" si="25"/>
        <v>4130</v>
      </c>
      <c r="L77" s="71">
        <f t="shared" si="25"/>
        <v>4130</v>
      </c>
      <c r="M77" s="71">
        <f t="shared" si="25"/>
        <v>4130</v>
      </c>
      <c r="N77" s="71">
        <f t="shared" si="25"/>
        <v>4130</v>
      </c>
      <c r="O77" s="71">
        <f t="shared" si="25"/>
        <v>4130</v>
      </c>
      <c r="P77" s="71">
        <f t="shared" si="25"/>
        <v>4130</v>
      </c>
      <c r="Q77" s="71">
        <f t="shared" si="25"/>
        <v>4130</v>
      </c>
      <c r="R77" s="71">
        <f t="shared" si="25"/>
        <v>4130</v>
      </c>
    </row>
    <row r="78" spans="1:18" x14ac:dyDescent="0.35">
      <c r="B78" s="71" t="s">
        <v>24</v>
      </c>
      <c r="C78" s="71">
        <f>-C68+C69</f>
        <v>-24000</v>
      </c>
      <c r="D78" s="71">
        <f>+D77+D72</f>
        <v>9030</v>
      </c>
      <c r="E78" s="71">
        <f t="shared" ref="E78:Q78" si="26">+E77+E72</f>
        <v>9030</v>
      </c>
      <c r="F78" s="71">
        <f t="shared" si="26"/>
        <v>9030</v>
      </c>
      <c r="G78" s="71">
        <f t="shared" si="26"/>
        <v>9030</v>
      </c>
      <c r="H78" s="71">
        <f t="shared" si="26"/>
        <v>8130</v>
      </c>
      <c r="I78" s="71">
        <f t="shared" si="26"/>
        <v>8130</v>
      </c>
      <c r="J78" s="71">
        <f t="shared" si="26"/>
        <v>8130</v>
      </c>
      <c r="K78" s="71">
        <f t="shared" si="26"/>
        <v>8130</v>
      </c>
      <c r="L78" s="71">
        <f t="shared" si="26"/>
        <v>8130</v>
      </c>
      <c r="M78" s="71">
        <f t="shared" si="26"/>
        <v>8130</v>
      </c>
      <c r="N78" s="71">
        <f t="shared" si="26"/>
        <v>8130</v>
      </c>
      <c r="O78" s="71">
        <f t="shared" si="26"/>
        <v>8130</v>
      </c>
      <c r="P78" s="71">
        <f t="shared" si="26"/>
        <v>8130</v>
      </c>
      <c r="Q78" s="71">
        <f t="shared" si="26"/>
        <v>8130</v>
      </c>
      <c r="R78" s="82">
        <f>+R77+R72-R69</f>
        <v>-39870</v>
      </c>
    </row>
    <row r="79" spans="1:18" x14ac:dyDescent="0.35">
      <c r="B79" s="74" t="s">
        <v>42</v>
      </c>
      <c r="C79" s="75">
        <f>NPV(C66,D78:R78)</f>
        <v>49336.522170632663</v>
      </c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</row>
    <row r="80" spans="1:18" ht="15" thickBot="1" x14ac:dyDescent="0.4">
      <c r="B80" s="74" t="s">
        <v>22</v>
      </c>
      <c r="C80" s="77">
        <f>+C78+C79</f>
        <v>25336.522170632663</v>
      </c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</row>
    <row r="81" spans="1:23" ht="15" thickBot="1" x14ac:dyDescent="0.4">
      <c r="B81" s="113" t="s">
        <v>52</v>
      </c>
      <c r="C81" s="115">
        <f>-PMT(C66,15,C80)</f>
        <v>3720.0156029859372</v>
      </c>
      <c r="D81" s="76"/>
      <c r="E81" s="76" t="s">
        <v>177</v>
      </c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3" spans="1:23" x14ac:dyDescent="0.35">
      <c r="A83" s="66" t="s">
        <v>16</v>
      </c>
    </row>
    <row r="84" spans="1:23" x14ac:dyDescent="0.35">
      <c r="B84" s="71" t="s">
        <v>4</v>
      </c>
      <c r="C84" s="71">
        <f>+E63+E64</f>
        <v>72000</v>
      </c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</row>
    <row r="85" spans="1:23" x14ac:dyDescent="0.35">
      <c r="B85" s="71" t="s">
        <v>151</v>
      </c>
      <c r="C85" s="71"/>
      <c r="D85" s="71">
        <f>+C63/D63</f>
        <v>3000</v>
      </c>
      <c r="E85" s="71">
        <f>+D85</f>
        <v>3000</v>
      </c>
      <c r="F85" s="71">
        <f t="shared" ref="F85:R86" si="27">+E85</f>
        <v>3000</v>
      </c>
      <c r="G85" s="71">
        <f t="shared" si="27"/>
        <v>3000</v>
      </c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</row>
    <row r="86" spans="1:23" x14ac:dyDescent="0.35">
      <c r="B86" s="71" t="s">
        <v>152</v>
      </c>
      <c r="C86" s="71"/>
      <c r="D86" s="71">
        <f>+E63/F63</f>
        <v>4000</v>
      </c>
      <c r="E86" s="71">
        <f>+D86</f>
        <v>4000</v>
      </c>
      <c r="F86" s="71">
        <f t="shared" si="27"/>
        <v>4000</v>
      </c>
      <c r="G86" s="71">
        <f t="shared" si="27"/>
        <v>4000</v>
      </c>
      <c r="H86" s="71">
        <f t="shared" si="27"/>
        <v>4000</v>
      </c>
      <c r="I86" s="71">
        <f t="shared" si="27"/>
        <v>4000</v>
      </c>
      <c r="J86" s="71">
        <f t="shared" si="27"/>
        <v>4000</v>
      </c>
      <c r="K86" s="71">
        <f t="shared" si="27"/>
        <v>4000</v>
      </c>
      <c r="L86" s="71">
        <f t="shared" si="27"/>
        <v>4000</v>
      </c>
      <c r="M86" s="71">
        <f t="shared" si="27"/>
        <v>4000</v>
      </c>
      <c r="N86" s="71">
        <f t="shared" si="27"/>
        <v>4000</v>
      </c>
      <c r="O86" s="71">
        <f t="shared" si="27"/>
        <v>4000</v>
      </c>
      <c r="P86" s="71">
        <f t="shared" si="27"/>
        <v>4000</v>
      </c>
      <c r="Q86" s="71">
        <f t="shared" si="27"/>
        <v>4000</v>
      </c>
      <c r="R86" s="71">
        <f t="shared" si="27"/>
        <v>4000</v>
      </c>
    </row>
    <row r="87" spans="1:23" x14ac:dyDescent="0.35">
      <c r="B87" s="71" t="s">
        <v>59</v>
      </c>
      <c r="C87" s="71"/>
      <c r="D87" s="71">
        <f>+D85+D86</f>
        <v>7000</v>
      </c>
      <c r="E87" s="71">
        <f t="shared" ref="E87:R87" si="28">+E85+E86</f>
        <v>7000</v>
      </c>
      <c r="F87" s="71">
        <f t="shared" si="28"/>
        <v>7000</v>
      </c>
      <c r="G87" s="71">
        <f t="shared" si="28"/>
        <v>7000</v>
      </c>
      <c r="H87" s="71">
        <f t="shared" si="28"/>
        <v>4000</v>
      </c>
      <c r="I87" s="71">
        <f t="shared" si="28"/>
        <v>4000</v>
      </c>
      <c r="J87" s="71">
        <f t="shared" si="28"/>
        <v>4000</v>
      </c>
      <c r="K87" s="71">
        <f t="shared" si="28"/>
        <v>4000</v>
      </c>
      <c r="L87" s="71">
        <f t="shared" si="28"/>
        <v>4000</v>
      </c>
      <c r="M87" s="71">
        <f t="shared" si="28"/>
        <v>4000</v>
      </c>
      <c r="N87" s="71">
        <f t="shared" si="28"/>
        <v>4000</v>
      </c>
      <c r="O87" s="71">
        <f t="shared" si="28"/>
        <v>4000</v>
      </c>
      <c r="P87" s="71">
        <f t="shared" si="28"/>
        <v>4000</v>
      </c>
      <c r="Q87" s="71">
        <f t="shared" si="28"/>
        <v>4000</v>
      </c>
      <c r="R87" s="71">
        <f t="shared" si="28"/>
        <v>4000</v>
      </c>
    </row>
    <row r="89" spans="1:23" x14ac:dyDescent="0.35">
      <c r="A89" s="66" t="s">
        <v>37</v>
      </c>
      <c r="B89" s="66" t="s">
        <v>154</v>
      </c>
      <c r="C89" s="73">
        <v>0.1</v>
      </c>
    </row>
    <row r="90" spans="1:23" x14ac:dyDescent="0.35">
      <c r="B90" s="71" t="s">
        <v>114</v>
      </c>
      <c r="C90" s="71">
        <f>+C69</f>
        <v>48000</v>
      </c>
      <c r="D90" s="82">
        <f>+C90+D92</f>
        <v>48000</v>
      </c>
      <c r="E90" s="82">
        <f t="shared" ref="E90:Q90" si="29">+D90+E92</f>
        <v>48000</v>
      </c>
      <c r="F90" s="82">
        <f t="shared" si="29"/>
        <v>48000</v>
      </c>
      <c r="G90" s="82">
        <f t="shared" si="29"/>
        <v>48000</v>
      </c>
      <c r="H90" s="82">
        <f t="shared" si="29"/>
        <v>48000</v>
      </c>
      <c r="I90" s="82">
        <f t="shared" si="29"/>
        <v>48000</v>
      </c>
      <c r="J90" s="82">
        <f t="shared" si="29"/>
        <v>48000</v>
      </c>
      <c r="K90" s="82">
        <f t="shared" si="29"/>
        <v>48000</v>
      </c>
      <c r="L90" s="82">
        <f t="shared" si="29"/>
        <v>48000</v>
      </c>
      <c r="M90" s="82">
        <f t="shared" si="29"/>
        <v>48000</v>
      </c>
      <c r="N90" s="82">
        <f t="shared" si="29"/>
        <v>48000</v>
      </c>
      <c r="O90" s="82">
        <f t="shared" si="29"/>
        <v>48000</v>
      </c>
      <c r="P90" s="82">
        <f t="shared" si="29"/>
        <v>48000</v>
      </c>
      <c r="Q90" s="82">
        <f t="shared" si="29"/>
        <v>48000</v>
      </c>
      <c r="R90" s="71">
        <v>0</v>
      </c>
    </row>
    <row r="91" spans="1:23" x14ac:dyDescent="0.35">
      <c r="B91" s="71" t="s">
        <v>19</v>
      </c>
      <c r="C91" s="71">
        <v>0</v>
      </c>
      <c r="D91" s="71">
        <f>+C90*$C$89</f>
        <v>4800</v>
      </c>
      <c r="E91" s="71">
        <f t="shared" ref="E91:R91" si="30">+D90*$C$89</f>
        <v>4800</v>
      </c>
      <c r="F91" s="71">
        <f t="shared" si="30"/>
        <v>4800</v>
      </c>
      <c r="G91" s="71">
        <f t="shared" si="30"/>
        <v>4800</v>
      </c>
      <c r="H91" s="71">
        <f t="shared" si="30"/>
        <v>4800</v>
      </c>
      <c r="I91" s="71">
        <f t="shared" si="30"/>
        <v>4800</v>
      </c>
      <c r="J91" s="71">
        <f t="shared" si="30"/>
        <v>4800</v>
      </c>
      <c r="K91" s="71">
        <f t="shared" si="30"/>
        <v>4800</v>
      </c>
      <c r="L91" s="71">
        <f t="shared" si="30"/>
        <v>4800</v>
      </c>
      <c r="M91" s="71">
        <f t="shared" si="30"/>
        <v>4800</v>
      </c>
      <c r="N91" s="71">
        <f t="shared" si="30"/>
        <v>4800</v>
      </c>
      <c r="O91" s="71">
        <f t="shared" si="30"/>
        <v>4800</v>
      </c>
      <c r="P91" s="71">
        <f t="shared" si="30"/>
        <v>4800</v>
      </c>
      <c r="Q91" s="71">
        <f t="shared" si="30"/>
        <v>4800</v>
      </c>
      <c r="R91" s="71">
        <f t="shared" si="30"/>
        <v>4800</v>
      </c>
    </row>
    <row r="92" spans="1:23" x14ac:dyDescent="0.35">
      <c r="B92" s="71" t="s">
        <v>155</v>
      </c>
      <c r="C92" s="71">
        <v>0</v>
      </c>
      <c r="D92" s="82">
        <v>0</v>
      </c>
      <c r="E92" s="82">
        <v>0</v>
      </c>
      <c r="F92" s="82">
        <v>0</v>
      </c>
      <c r="G92" s="82">
        <v>0</v>
      </c>
      <c r="H92" s="82">
        <v>0</v>
      </c>
      <c r="I92" s="82">
        <v>0</v>
      </c>
      <c r="J92" s="82">
        <v>0</v>
      </c>
      <c r="K92" s="82">
        <v>0</v>
      </c>
      <c r="L92" s="82">
        <v>0</v>
      </c>
      <c r="M92" s="82">
        <v>0</v>
      </c>
      <c r="N92" s="82">
        <v>0</v>
      </c>
      <c r="O92" s="82">
        <v>0</v>
      </c>
      <c r="P92" s="82">
        <v>0</v>
      </c>
      <c r="Q92" s="82">
        <v>0</v>
      </c>
      <c r="R92" s="82">
        <v>48000</v>
      </c>
    </row>
    <row r="93" spans="1:23" x14ac:dyDescent="0.35">
      <c r="B93" s="71" t="s">
        <v>40</v>
      </c>
      <c r="C93" s="71">
        <v>0</v>
      </c>
      <c r="D93" s="83">
        <f>+D91+D92</f>
        <v>4800</v>
      </c>
      <c r="E93" s="83">
        <f t="shared" ref="E93:R93" si="31">+E91+E92</f>
        <v>4800</v>
      </c>
      <c r="F93" s="83">
        <f t="shared" si="31"/>
        <v>4800</v>
      </c>
      <c r="G93" s="83">
        <f t="shared" si="31"/>
        <v>4800</v>
      </c>
      <c r="H93" s="83">
        <f t="shared" si="31"/>
        <v>4800</v>
      </c>
      <c r="I93" s="83">
        <f t="shared" si="31"/>
        <v>4800</v>
      </c>
      <c r="J93" s="83">
        <f t="shared" si="31"/>
        <v>4800</v>
      </c>
      <c r="K93" s="83">
        <f t="shared" si="31"/>
        <v>4800</v>
      </c>
      <c r="L93" s="83">
        <f t="shared" si="31"/>
        <v>4800</v>
      </c>
      <c r="M93" s="83">
        <f t="shared" si="31"/>
        <v>4800</v>
      </c>
      <c r="N93" s="83">
        <f t="shared" si="31"/>
        <v>4800</v>
      </c>
      <c r="O93" s="83">
        <f t="shared" si="31"/>
        <v>4800</v>
      </c>
      <c r="P93" s="83">
        <f t="shared" si="31"/>
        <v>4800</v>
      </c>
      <c r="Q93" s="83">
        <f t="shared" si="31"/>
        <v>4800</v>
      </c>
      <c r="R93" s="83">
        <f t="shared" si="31"/>
        <v>52800</v>
      </c>
    </row>
    <row r="94" spans="1:23" x14ac:dyDescent="0.35">
      <c r="D94" s="84"/>
    </row>
    <row r="95" spans="1:23" x14ac:dyDescent="0.35">
      <c r="B95" s="66" t="s">
        <v>45</v>
      </c>
      <c r="C95" s="73">
        <v>0.12</v>
      </c>
    </row>
    <row r="96" spans="1:23" x14ac:dyDescent="0.35">
      <c r="A96" s="72" t="s">
        <v>149</v>
      </c>
      <c r="B96" s="71"/>
      <c r="C96" s="71">
        <v>0</v>
      </c>
      <c r="D96" s="71">
        <v>1</v>
      </c>
      <c r="E96" s="71">
        <v>2</v>
      </c>
      <c r="F96" s="71">
        <v>3</v>
      </c>
      <c r="G96" s="71">
        <v>4</v>
      </c>
      <c r="H96" s="71">
        <v>5</v>
      </c>
      <c r="I96" s="71">
        <v>6</v>
      </c>
      <c r="J96" s="71">
        <v>7</v>
      </c>
      <c r="K96" s="71">
        <v>8</v>
      </c>
      <c r="L96" s="71">
        <v>9</v>
      </c>
      <c r="M96" s="71">
        <v>10</v>
      </c>
      <c r="N96" s="71">
        <v>11</v>
      </c>
      <c r="O96" s="71">
        <v>12</v>
      </c>
      <c r="P96" s="71">
        <v>13</v>
      </c>
      <c r="Q96" s="71">
        <v>14</v>
      </c>
      <c r="R96" s="71">
        <v>15</v>
      </c>
      <c r="S96" s="78">
        <v>16</v>
      </c>
      <c r="T96" s="78">
        <v>17</v>
      </c>
      <c r="U96" s="78">
        <v>18</v>
      </c>
      <c r="V96" s="78">
        <v>19</v>
      </c>
      <c r="W96" s="78">
        <v>20</v>
      </c>
    </row>
    <row r="97" spans="1:23" x14ac:dyDescent="0.35">
      <c r="B97" s="71" t="s">
        <v>4</v>
      </c>
      <c r="C97" s="71">
        <f>+C84</f>
        <v>72000</v>
      </c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</row>
    <row r="98" spans="1:23" x14ac:dyDescent="0.35">
      <c r="B98" s="71" t="s">
        <v>37</v>
      </c>
      <c r="C98" s="71">
        <f>+C64*0.8</f>
        <v>48000</v>
      </c>
      <c r="D98" s="82">
        <f>+D121</f>
        <v>7862.2790781477797</v>
      </c>
      <c r="E98" s="82">
        <f t="shared" ref="E98:H98" si="32">+E121</f>
        <v>8648.5069859625582</v>
      </c>
      <c r="F98" s="82">
        <f t="shared" si="32"/>
        <v>9513.3576845588141</v>
      </c>
      <c r="G98" s="82">
        <f t="shared" si="32"/>
        <v>10464.693453014695</v>
      </c>
      <c r="H98" s="82">
        <f t="shared" si="32"/>
        <v>11511.162798316165</v>
      </c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</row>
    <row r="99" spans="1:23" x14ac:dyDescent="0.35">
      <c r="B99" s="71" t="s">
        <v>14</v>
      </c>
      <c r="C99" s="71"/>
      <c r="D99" s="71">
        <v>15100</v>
      </c>
      <c r="E99" s="71">
        <v>15100</v>
      </c>
      <c r="F99" s="71">
        <v>15100</v>
      </c>
      <c r="G99" s="71">
        <v>15100</v>
      </c>
      <c r="H99" s="71">
        <v>15100</v>
      </c>
      <c r="I99" s="71">
        <v>15100</v>
      </c>
      <c r="J99" s="71">
        <v>15100</v>
      </c>
      <c r="K99" s="71">
        <v>15100</v>
      </c>
      <c r="L99" s="71">
        <v>15100</v>
      </c>
      <c r="M99" s="71">
        <v>15100</v>
      </c>
      <c r="N99" s="71">
        <v>15100</v>
      </c>
      <c r="O99" s="71">
        <v>15100</v>
      </c>
      <c r="P99" s="71">
        <v>15100</v>
      </c>
      <c r="Q99" s="71">
        <v>15100</v>
      </c>
      <c r="R99" s="71">
        <v>15100</v>
      </c>
      <c r="S99" s="71">
        <v>15100</v>
      </c>
      <c r="T99" s="71">
        <v>15100</v>
      </c>
      <c r="U99" s="71">
        <v>15100</v>
      </c>
      <c r="V99" s="71">
        <v>15100</v>
      </c>
      <c r="W99" s="71">
        <v>15100</v>
      </c>
    </row>
    <row r="100" spans="1:23" x14ac:dyDescent="0.35">
      <c r="B100" s="71" t="s">
        <v>47</v>
      </c>
      <c r="C100" s="71"/>
      <c r="D100" s="71">
        <v>2000</v>
      </c>
      <c r="E100" s="71">
        <v>2000</v>
      </c>
      <c r="F100" s="71">
        <v>2000</v>
      </c>
      <c r="G100" s="71">
        <v>2000</v>
      </c>
      <c r="H100" s="71">
        <v>2000</v>
      </c>
      <c r="I100" s="71">
        <v>2000</v>
      </c>
      <c r="J100" s="71">
        <v>2000</v>
      </c>
      <c r="K100" s="71">
        <v>2000</v>
      </c>
      <c r="L100" s="71">
        <v>2000</v>
      </c>
      <c r="M100" s="71">
        <v>2000</v>
      </c>
      <c r="N100" s="71">
        <v>2000</v>
      </c>
      <c r="O100" s="71">
        <v>2000</v>
      </c>
      <c r="P100" s="71">
        <v>2000</v>
      </c>
      <c r="Q100" s="71">
        <v>2000</v>
      </c>
      <c r="R100" s="71">
        <v>2000</v>
      </c>
      <c r="S100" s="71">
        <v>2000</v>
      </c>
      <c r="T100" s="71">
        <v>2000</v>
      </c>
      <c r="U100" s="71">
        <v>2000</v>
      </c>
      <c r="V100" s="71">
        <v>2000</v>
      </c>
      <c r="W100" s="71">
        <v>2000</v>
      </c>
    </row>
    <row r="101" spans="1:23" x14ac:dyDescent="0.35">
      <c r="B101" s="71" t="s">
        <v>59</v>
      </c>
      <c r="C101" s="71"/>
      <c r="D101" s="71">
        <f>+D116</f>
        <v>12600</v>
      </c>
      <c r="E101" s="71">
        <f t="shared" ref="E101:W101" si="33">+E116</f>
        <v>12600</v>
      </c>
      <c r="F101" s="71">
        <f t="shared" si="33"/>
        <v>12600</v>
      </c>
      <c r="G101" s="71">
        <f t="shared" si="33"/>
        <v>12600</v>
      </c>
      <c r="H101" s="71">
        <f t="shared" si="33"/>
        <v>12600</v>
      </c>
      <c r="I101" s="71">
        <f t="shared" si="33"/>
        <v>600</v>
      </c>
      <c r="J101" s="71">
        <f t="shared" si="33"/>
        <v>600</v>
      </c>
      <c r="K101" s="71">
        <f t="shared" si="33"/>
        <v>600</v>
      </c>
      <c r="L101" s="71">
        <f t="shared" si="33"/>
        <v>600</v>
      </c>
      <c r="M101" s="71">
        <f t="shared" si="33"/>
        <v>600</v>
      </c>
      <c r="N101" s="71">
        <f t="shared" si="33"/>
        <v>600</v>
      </c>
      <c r="O101" s="71">
        <f t="shared" si="33"/>
        <v>600</v>
      </c>
      <c r="P101" s="71">
        <f t="shared" si="33"/>
        <v>600</v>
      </c>
      <c r="Q101" s="71">
        <f t="shared" si="33"/>
        <v>600</v>
      </c>
      <c r="R101" s="71">
        <f t="shared" si="33"/>
        <v>600</v>
      </c>
      <c r="S101" s="71">
        <f t="shared" si="33"/>
        <v>600</v>
      </c>
      <c r="T101" s="71">
        <f t="shared" si="33"/>
        <v>600</v>
      </c>
      <c r="U101" s="71">
        <f t="shared" si="33"/>
        <v>600</v>
      </c>
      <c r="V101" s="71">
        <f t="shared" si="33"/>
        <v>600</v>
      </c>
      <c r="W101" s="71">
        <f t="shared" si="33"/>
        <v>600</v>
      </c>
    </row>
    <row r="102" spans="1:23" x14ac:dyDescent="0.35">
      <c r="B102" s="71" t="s">
        <v>17</v>
      </c>
      <c r="C102" s="71"/>
      <c r="D102" s="71">
        <f>+D99-D100-D101</f>
        <v>500</v>
      </c>
      <c r="E102" s="71">
        <f t="shared" ref="E102:W102" si="34">+E99-E100-E101</f>
        <v>500</v>
      </c>
      <c r="F102" s="71">
        <f t="shared" si="34"/>
        <v>500</v>
      </c>
      <c r="G102" s="71">
        <f t="shared" si="34"/>
        <v>500</v>
      </c>
      <c r="H102" s="71">
        <f t="shared" si="34"/>
        <v>500</v>
      </c>
      <c r="I102" s="71">
        <f t="shared" si="34"/>
        <v>12500</v>
      </c>
      <c r="J102" s="71">
        <f t="shared" si="34"/>
        <v>12500</v>
      </c>
      <c r="K102" s="71">
        <f t="shared" si="34"/>
        <v>12500</v>
      </c>
      <c r="L102" s="71">
        <f t="shared" si="34"/>
        <v>12500</v>
      </c>
      <c r="M102" s="71">
        <f t="shared" si="34"/>
        <v>12500</v>
      </c>
      <c r="N102" s="71">
        <f t="shared" si="34"/>
        <v>12500</v>
      </c>
      <c r="O102" s="71">
        <f t="shared" si="34"/>
        <v>12500</v>
      </c>
      <c r="P102" s="71">
        <f t="shared" si="34"/>
        <v>12500</v>
      </c>
      <c r="Q102" s="71">
        <f t="shared" si="34"/>
        <v>12500</v>
      </c>
      <c r="R102" s="71">
        <f t="shared" si="34"/>
        <v>12500</v>
      </c>
      <c r="S102" s="71">
        <f t="shared" si="34"/>
        <v>12500</v>
      </c>
      <c r="T102" s="71">
        <f t="shared" si="34"/>
        <v>12500</v>
      </c>
      <c r="U102" s="71">
        <f t="shared" si="34"/>
        <v>12500</v>
      </c>
      <c r="V102" s="71">
        <f t="shared" si="34"/>
        <v>12500</v>
      </c>
      <c r="W102" s="71">
        <f t="shared" si="34"/>
        <v>12500</v>
      </c>
    </row>
    <row r="103" spans="1:23" x14ac:dyDescent="0.35">
      <c r="B103" s="71" t="s">
        <v>21</v>
      </c>
      <c r="C103" s="71"/>
      <c r="D103" s="71">
        <f>+D120</f>
        <v>4800</v>
      </c>
      <c r="E103" s="79">
        <f t="shared" ref="E103:H103" si="35">+E120</f>
        <v>4013.7720921852219</v>
      </c>
      <c r="F103" s="79">
        <f t="shared" si="35"/>
        <v>3148.9213935889661</v>
      </c>
      <c r="G103" s="79">
        <f t="shared" si="35"/>
        <v>2197.5856251330847</v>
      </c>
      <c r="H103" s="79">
        <f t="shared" si="35"/>
        <v>1151.1162798316152</v>
      </c>
      <c r="I103" s="71">
        <v>0</v>
      </c>
      <c r="J103" s="71">
        <v>0</v>
      </c>
      <c r="K103" s="71">
        <v>0</v>
      </c>
      <c r="L103" s="71">
        <v>0</v>
      </c>
      <c r="M103" s="71">
        <v>0</v>
      </c>
      <c r="N103" s="71">
        <v>0</v>
      </c>
      <c r="O103" s="71">
        <v>0</v>
      </c>
      <c r="P103" s="71">
        <v>0</v>
      </c>
      <c r="Q103" s="71">
        <v>0</v>
      </c>
      <c r="R103" s="71">
        <v>0</v>
      </c>
      <c r="S103" s="71">
        <v>0</v>
      </c>
      <c r="T103" s="71">
        <v>0</v>
      </c>
      <c r="U103" s="71">
        <v>0</v>
      </c>
      <c r="V103" s="71">
        <v>0</v>
      </c>
      <c r="W103" s="71">
        <v>0</v>
      </c>
    </row>
    <row r="104" spans="1:23" x14ac:dyDescent="0.35">
      <c r="B104" s="71" t="s">
        <v>41</v>
      </c>
      <c r="C104" s="71"/>
      <c r="D104" s="71">
        <f>+D102-D103</f>
        <v>-4300</v>
      </c>
      <c r="E104" s="79">
        <f t="shared" ref="E104:W104" si="36">+E102-E103</f>
        <v>-3513.7720921852219</v>
      </c>
      <c r="F104" s="79">
        <f t="shared" si="36"/>
        <v>-2648.9213935889661</v>
      </c>
      <c r="G104" s="79">
        <f t="shared" si="36"/>
        <v>-1697.5856251330847</v>
      </c>
      <c r="H104" s="79">
        <f t="shared" si="36"/>
        <v>-651.1162798316152</v>
      </c>
      <c r="I104" s="71">
        <f t="shared" si="36"/>
        <v>12500</v>
      </c>
      <c r="J104" s="71">
        <f t="shared" si="36"/>
        <v>12500</v>
      </c>
      <c r="K104" s="71">
        <f t="shared" si="36"/>
        <v>12500</v>
      </c>
      <c r="L104" s="71">
        <f t="shared" si="36"/>
        <v>12500</v>
      </c>
      <c r="M104" s="71">
        <f t="shared" si="36"/>
        <v>12500</v>
      </c>
      <c r="N104" s="71">
        <f t="shared" si="36"/>
        <v>12500</v>
      </c>
      <c r="O104" s="71">
        <f t="shared" si="36"/>
        <v>12500</v>
      </c>
      <c r="P104" s="71">
        <f t="shared" si="36"/>
        <v>12500</v>
      </c>
      <c r="Q104" s="71">
        <f t="shared" si="36"/>
        <v>12500</v>
      </c>
      <c r="R104" s="71">
        <f t="shared" si="36"/>
        <v>12500</v>
      </c>
      <c r="S104" s="71">
        <f t="shared" si="36"/>
        <v>12500</v>
      </c>
      <c r="T104" s="71">
        <f t="shared" si="36"/>
        <v>12500</v>
      </c>
      <c r="U104" s="71">
        <f t="shared" si="36"/>
        <v>12500</v>
      </c>
      <c r="V104" s="71">
        <f t="shared" si="36"/>
        <v>12500</v>
      </c>
      <c r="W104" s="71">
        <f t="shared" si="36"/>
        <v>12500</v>
      </c>
    </row>
    <row r="105" spans="1:23" x14ac:dyDescent="0.35">
      <c r="B105" s="71" t="s">
        <v>21</v>
      </c>
      <c r="C105" s="71"/>
      <c r="D105" s="71">
        <f>IF(D104&lt;0, 0, D104*0.3)</f>
        <v>0</v>
      </c>
      <c r="E105" s="79">
        <f t="shared" ref="E105:W105" si="37">IF(E104&lt;0, 0, E104*0.3)</f>
        <v>0</v>
      </c>
      <c r="F105" s="79">
        <f t="shared" si="37"/>
        <v>0</v>
      </c>
      <c r="G105" s="79">
        <f t="shared" si="37"/>
        <v>0</v>
      </c>
      <c r="H105" s="79">
        <f t="shared" si="37"/>
        <v>0</v>
      </c>
      <c r="I105" s="71">
        <f t="shared" si="37"/>
        <v>3750</v>
      </c>
      <c r="J105" s="71">
        <f t="shared" si="37"/>
        <v>3750</v>
      </c>
      <c r="K105" s="71">
        <f t="shared" si="37"/>
        <v>3750</v>
      </c>
      <c r="L105" s="71">
        <f t="shared" si="37"/>
        <v>3750</v>
      </c>
      <c r="M105" s="71">
        <f t="shared" si="37"/>
        <v>3750</v>
      </c>
      <c r="N105" s="71">
        <f t="shared" si="37"/>
        <v>3750</v>
      </c>
      <c r="O105" s="71">
        <f t="shared" si="37"/>
        <v>3750</v>
      </c>
      <c r="P105" s="71">
        <f t="shared" si="37"/>
        <v>3750</v>
      </c>
      <c r="Q105" s="71">
        <f t="shared" si="37"/>
        <v>3750</v>
      </c>
      <c r="R105" s="71">
        <f t="shared" si="37"/>
        <v>3750</v>
      </c>
      <c r="S105" s="71">
        <f t="shared" si="37"/>
        <v>3750</v>
      </c>
      <c r="T105" s="71">
        <f t="shared" si="37"/>
        <v>3750</v>
      </c>
      <c r="U105" s="71">
        <f t="shared" si="37"/>
        <v>3750</v>
      </c>
      <c r="V105" s="71">
        <f t="shared" si="37"/>
        <v>3750</v>
      </c>
      <c r="W105" s="71">
        <f t="shared" si="37"/>
        <v>3750</v>
      </c>
    </row>
    <row r="106" spans="1:23" x14ac:dyDescent="0.35">
      <c r="B106" s="71" t="s">
        <v>18</v>
      </c>
      <c r="C106" s="71"/>
      <c r="D106" s="71">
        <f>+D104-D105</f>
        <v>-4300</v>
      </c>
      <c r="E106" s="79">
        <f t="shared" ref="E106:W106" si="38">+E104-E105</f>
        <v>-3513.7720921852219</v>
      </c>
      <c r="F106" s="79">
        <f t="shared" si="38"/>
        <v>-2648.9213935889661</v>
      </c>
      <c r="G106" s="79">
        <f t="shared" si="38"/>
        <v>-1697.5856251330847</v>
      </c>
      <c r="H106" s="79">
        <f t="shared" si="38"/>
        <v>-651.1162798316152</v>
      </c>
      <c r="I106" s="71">
        <f t="shared" si="38"/>
        <v>8750</v>
      </c>
      <c r="J106" s="71">
        <f t="shared" si="38"/>
        <v>8750</v>
      </c>
      <c r="K106" s="71">
        <f t="shared" si="38"/>
        <v>8750</v>
      </c>
      <c r="L106" s="71">
        <f t="shared" si="38"/>
        <v>8750</v>
      </c>
      <c r="M106" s="71">
        <f t="shared" si="38"/>
        <v>8750</v>
      </c>
      <c r="N106" s="71">
        <f t="shared" si="38"/>
        <v>8750</v>
      </c>
      <c r="O106" s="71">
        <f t="shared" si="38"/>
        <v>8750</v>
      </c>
      <c r="P106" s="71">
        <f t="shared" si="38"/>
        <v>8750</v>
      </c>
      <c r="Q106" s="71">
        <f t="shared" si="38"/>
        <v>8750</v>
      </c>
      <c r="R106" s="71">
        <f t="shared" si="38"/>
        <v>8750</v>
      </c>
      <c r="S106" s="71">
        <f t="shared" si="38"/>
        <v>8750</v>
      </c>
      <c r="T106" s="71">
        <f t="shared" si="38"/>
        <v>8750</v>
      </c>
      <c r="U106" s="71">
        <f t="shared" si="38"/>
        <v>8750</v>
      </c>
      <c r="V106" s="71">
        <f t="shared" si="38"/>
        <v>8750</v>
      </c>
      <c r="W106" s="71">
        <f t="shared" si="38"/>
        <v>8750</v>
      </c>
    </row>
    <row r="107" spans="1:23" x14ac:dyDescent="0.35">
      <c r="B107" s="71" t="s">
        <v>24</v>
      </c>
      <c r="C107" s="71">
        <f>-C97+C98</f>
        <v>-24000</v>
      </c>
      <c r="D107" s="82">
        <f>+D106+D101-D98</f>
        <v>437.72092185222027</v>
      </c>
      <c r="E107" s="82">
        <f>+E106+E101-E98</f>
        <v>437.72092185222027</v>
      </c>
      <c r="F107" s="82">
        <f t="shared" ref="F107:W107" si="39">+F106+F101-F98</f>
        <v>437.72092185222027</v>
      </c>
      <c r="G107" s="82">
        <f t="shared" si="39"/>
        <v>437.72092185222027</v>
      </c>
      <c r="H107" s="82">
        <f t="shared" si="39"/>
        <v>437.72092185222027</v>
      </c>
      <c r="I107" s="82">
        <f t="shared" si="39"/>
        <v>9350</v>
      </c>
      <c r="J107" s="82">
        <f t="shared" si="39"/>
        <v>9350</v>
      </c>
      <c r="K107" s="82">
        <f t="shared" si="39"/>
        <v>9350</v>
      </c>
      <c r="L107" s="82">
        <f t="shared" si="39"/>
        <v>9350</v>
      </c>
      <c r="M107" s="82">
        <f t="shared" si="39"/>
        <v>9350</v>
      </c>
      <c r="N107" s="82">
        <f t="shared" si="39"/>
        <v>9350</v>
      </c>
      <c r="O107" s="82">
        <f t="shared" si="39"/>
        <v>9350</v>
      </c>
      <c r="P107" s="82">
        <f t="shared" si="39"/>
        <v>9350</v>
      </c>
      <c r="Q107" s="82">
        <f t="shared" si="39"/>
        <v>9350</v>
      </c>
      <c r="R107" s="82">
        <f t="shared" si="39"/>
        <v>9350</v>
      </c>
      <c r="S107" s="82">
        <f t="shared" si="39"/>
        <v>9350</v>
      </c>
      <c r="T107" s="82">
        <f t="shared" si="39"/>
        <v>9350</v>
      </c>
      <c r="U107" s="82">
        <f t="shared" si="39"/>
        <v>9350</v>
      </c>
      <c r="V107" s="82">
        <f t="shared" si="39"/>
        <v>9350</v>
      </c>
      <c r="W107" s="82">
        <f t="shared" si="39"/>
        <v>9350</v>
      </c>
    </row>
    <row r="108" spans="1:23" x14ac:dyDescent="0.35">
      <c r="B108" s="74" t="s">
        <v>42</v>
      </c>
      <c r="C108" s="75">
        <f>NPV(C95, D107:W107)</f>
        <v>37712.526357898598</v>
      </c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</row>
    <row r="109" spans="1:23" ht="15" thickBot="1" x14ac:dyDescent="0.4">
      <c r="B109" s="74" t="s">
        <v>22</v>
      </c>
      <c r="C109" s="77">
        <f>+C107+C108</f>
        <v>13712.526357898598</v>
      </c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</row>
    <row r="110" spans="1:23" ht="15" thickBot="1" x14ac:dyDescent="0.4">
      <c r="B110" s="74" t="s">
        <v>52</v>
      </c>
      <c r="C110" s="115">
        <f>-PMT(C95,20,C109)</f>
        <v>1835.8163000571558</v>
      </c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</row>
    <row r="112" spans="1:23" x14ac:dyDescent="0.35">
      <c r="A112" s="66" t="s">
        <v>16</v>
      </c>
    </row>
    <row r="113" spans="1:23" x14ac:dyDescent="0.35">
      <c r="B113" s="66" t="s">
        <v>4</v>
      </c>
      <c r="C113" s="66">
        <f>+C97</f>
        <v>72000</v>
      </c>
    </row>
    <row r="114" spans="1:23" x14ac:dyDescent="0.35">
      <c r="B114" s="71" t="s">
        <v>151</v>
      </c>
      <c r="C114" s="71"/>
      <c r="D114" s="71">
        <f>+C64/D64</f>
        <v>12000</v>
      </c>
      <c r="E114" s="71">
        <f>+D114</f>
        <v>12000</v>
      </c>
      <c r="F114" s="71">
        <f t="shared" ref="F114:U115" si="40">+E114</f>
        <v>12000</v>
      </c>
      <c r="G114" s="71">
        <f t="shared" si="40"/>
        <v>12000</v>
      </c>
      <c r="H114" s="71">
        <f t="shared" si="40"/>
        <v>12000</v>
      </c>
      <c r="I114" s="71">
        <v>0</v>
      </c>
      <c r="J114" s="71">
        <v>0</v>
      </c>
      <c r="K114" s="71">
        <v>0</v>
      </c>
      <c r="L114" s="71">
        <v>0</v>
      </c>
      <c r="M114" s="71">
        <v>0</v>
      </c>
      <c r="N114" s="71">
        <v>0</v>
      </c>
      <c r="O114" s="71">
        <v>0</v>
      </c>
      <c r="P114" s="71">
        <v>0</v>
      </c>
      <c r="Q114" s="71">
        <v>0</v>
      </c>
      <c r="R114" s="71">
        <v>0</v>
      </c>
      <c r="S114" s="71">
        <v>0</v>
      </c>
      <c r="T114" s="71">
        <v>0</v>
      </c>
      <c r="U114" s="71">
        <v>0</v>
      </c>
      <c r="V114" s="71">
        <v>0</v>
      </c>
      <c r="W114" s="71">
        <v>0</v>
      </c>
    </row>
    <row r="115" spans="1:23" x14ac:dyDescent="0.35">
      <c r="B115" s="71" t="s">
        <v>152</v>
      </c>
      <c r="C115" s="71"/>
      <c r="D115" s="71">
        <f>+E64/F64</f>
        <v>600</v>
      </c>
      <c r="E115" s="71">
        <f>+D115</f>
        <v>600</v>
      </c>
      <c r="F115" s="71">
        <f t="shared" si="40"/>
        <v>600</v>
      </c>
      <c r="G115" s="71">
        <f t="shared" si="40"/>
        <v>600</v>
      </c>
      <c r="H115" s="71">
        <f t="shared" si="40"/>
        <v>600</v>
      </c>
      <c r="I115" s="71">
        <f t="shared" si="40"/>
        <v>600</v>
      </c>
      <c r="J115" s="71">
        <f t="shared" si="40"/>
        <v>600</v>
      </c>
      <c r="K115" s="71">
        <f t="shared" si="40"/>
        <v>600</v>
      </c>
      <c r="L115" s="71">
        <f t="shared" si="40"/>
        <v>600</v>
      </c>
      <c r="M115" s="71">
        <f t="shared" si="40"/>
        <v>600</v>
      </c>
      <c r="N115" s="71">
        <f t="shared" si="40"/>
        <v>600</v>
      </c>
      <c r="O115" s="71">
        <f t="shared" si="40"/>
        <v>600</v>
      </c>
      <c r="P115" s="71">
        <f t="shared" si="40"/>
        <v>600</v>
      </c>
      <c r="Q115" s="71">
        <f t="shared" si="40"/>
        <v>600</v>
      </c>
      <c r="R115" s="71">
        <f t="shared" si="40"/>
        <v>600</v>
      </c>
      <c r="S115" s="71">
        <f t="shared" si="40"/>
        <v>600</v>
      </c>
      <c r="T115" s="71">
        <f t="shared" si="40"/>
        <v>600</v>
      </c>
      <c r="U115" s="71">
        <f t="shared" si="40"/>
        <v>600</v>
      </c>
      <c r="V115" s="71">
        <f t="shared" ref="V115:W115" si="41">+U115</f>
        <v>600</v>
      </c>
      <c r="W115" s="71">
        <f t="shared" si="41"/>
        <v>600</v>
      </c>
    </row>
    <row r="116" spans="1:23" x14ac:dyDescent="0.35">
      <c r="B116" s="71" t="s">
        <v>59</v>
      </c>
      <c r="C116" s="71"/>
      <c r="D116" s="71">
        <f>+D114+D115</f>
        <v>12600</v>
      </c>
      <c r="E116" s="71">
        <f t="shared" ref="E116:W116" si="42">+E114+E115</f>
        <v>12600</v>
      </c>
      <c r="F116" s="71">
        <f t="shared" si="42"/>
        <v>12600</v>
      </c>
      <c r="G116" s="71">
        <f t="shared" si="42"/>
        <v>12600</v>
      </c>
      <c r="H116" s="71">
        <f t="shared" si="42"/>
        <v>12600</v>
      </c>
      <c r="I116" s="71">
        <f t="shared" si="42"/>
        <v>600</v>
      </c>
      <c r="J116" s="71">
        <f t="shared" si="42"/>
        <v>600</v>
      </c>
      <c r="K116" s="71">
        <f t="shared" si="42"/>
        <v>600</v>
      </c>
      <c r="L116" s="71">
        <f t="shared" si="42"/>
        <v>600</v>
      </c>
      <c r="M116" s="71">
        <f t="shared" si="42"/>
        <v>600</v>
      </c>
      <c r="N116" s="71">
        <f t="shared" si="42"/>
        <v>600</v>
      </c>
      <c r="O116" s="71">
        <f t="shared" si="42"/>
        <v>600</v>
      </c>
      <c r="P116" s="71">
        <f t="shared" si="42"/>
        <v>600</v>
      </c>
      <c r="Q116" s="71">
        <f t="shared" si="42"/>
        <v>600</v>
      </c>
      <c r="R116" s="71">
        <f t="shared" si="42"/>
        <v>600</v>
      </c>
      <c r="S116" s="71">
        <f t="shared" si="42"/>
        <v>600</v>
      </c>
      <c r="T116" s="71">
        <f t="shared" si="42"/>
        <v>600</v>
      </c>
      <c r="U116" s="71">
        <f t="shared" si="42"/>
        <v>600</v>
      </c>
      <c r="V116" s="71">
        <f t="shared" si="42"/>
        <v>600</v>
      </c>
      <c r="W116" s="71">
        <f t="shared" si="42"/>
        <v>600</v>
      </c>
    </row>
    <row r="118" spans="1:23" x14ac:dyDescent="0.35">
      <c r="A118" s="66" t="s">
        <v>37</v>
      </c>
      <c r="B118" s="66" t="s">
        <v>154</v>
      </c>
      <c r="C118" s="73">
        <v>0.1</v>
      </c>
    </row>
    <row r="119" spans="1:23" x14ac:dyDescent="0.35">
      <c r="B119" s="71" t="s">
        <v>114</v>
      </c>
      <c r="C119" s="71">
        <f>+C98</f>
        <v>48000</v>
      </c>
      <c r="D119" s="82">
        <f>+C119-D121</f>
        <v>40137.720921852218</v>
      </c>
      <c r="E119" s="82">
        <f t="shared" ref="E119:H119" si="43">+D119-E121</f>
        <v>31489.21393588966</v>
      </c>
      <c r="F119" s="82">
        <f t="shared" si="43"/>
        <v>21975.856251330846</v>
      </c>
      <c r="G119" s="82">
        <f t="shared" si="43"/>
        <v>11511.162798316151</v>
      </c>
      <c r="H119" s="82">
        <f t="shared" si="43"/>
        <v>-1.4551915228366852E-11</v>
      </c>
    </row>
    <row r="120" spans="1:23" x14ac:dyDescent="0.35">
      <c r="B120" s="71" t="s">
        <v>19</v>
      </c>
      <c r="C120" s="71">
        <v>0</v>
      </c>
      <c r="D120" s="71">
        <f>+C119*$C$118</f>
        <v>4800</v>
      </c>
      <c r="E120" s="71">
        <f>+D119*$C$118</f>
        <v>4013.7720921852219</v>
      </c>
      <c r="F120" s="71">
        <f>+E119*$C$118</f>
        <v>3148.9213935889661</v>
      </c>
      <c r="G120" s="71">
        <f>+F119*$C$118</f>
        <v>2197.5856251330847</v>
      </c>
      <c r="H120" s="71">
        <f>+G119*$C$118</f>
        <v>1151.1162798316152</v>
      </c>
    </row>
    <row r="121" spans="1:23" x14ac:dyDescent="0.35">
      <c r="B121" s="71" t="s">
        <v>155</v>
      </c>
      <c r="C121" s="71">
        <v>0</v>
      </c>
      <c r="D121" s="82">
        <f>+D122-D120</f>
        <v>7862.2790781477797</v>
      </c>
      <c r="E121" s="82">
        <f t="shared" ref="E121:H121" si="44">+E122-E120</f>
        <v>8648.5069859625582</v>
      </c>
      <c r="F121" s="82">
        <f t="shared" si="44"/>
        <v>9513.3576845588141</v>
      </c>
      <c r="G121" s="82">
        <f t="shared" si="44"/>
        <v>10464.693453014695</v>
      </c>
      <c r="H121" s="82">
        <f t="shared" si="44"/>
        <v>11511.162798316165</v>
      </c>
    </row>
    <row r="122" spans="1:23" x14ac:dyDescent="0.35">
      <c r="B122" s="71" t="s">
        <v>40</v>
      </c>
      <c r="C122" s="71">
        <v>0</v>
      </c>
      <c r="D122" s="83">
        <f>-PMT(C118,5,C119)</f>
        <v>12662.27907814778</v>
      </c>
      <c r="E122" s="83">
        <f>+D122</f>
        <v>12662.27907814778</v>
      </c>
      <c r="F122" s="83">
        <f t="shared" ref="F122:H122" si="45">+E122</f>
        <v>12662.27907814778</v>
      </c>
      <c r="G122" s="83">
        <f t="shared" si="45"/>
        <v>12662.27907814778</v>
      </c>
      <c r="H122" s="83">
        <f t="shared" si="45"/>
        <v>12662.27907814778</v>
      </c>
    </row>
  </sheetData>
  <mergeCells count="5">
    <mergeCell ref="B4:B5"/>
    <mergeCell ref="C4:D4"/>
    <mergeCell ref="E4:F4"/>
    <mergeCell ref="C61:D61"/>
    <mergeCell ref="E61:F61"/>
  </mergeCell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zoomScale="80" zoomScaleNormal="80" workbookViewId="0">
      <selection activeCell="B30" sqref="B30"/>
    </sheetView>
  </sheetViews>
  <sheetFormatPr baseColWidth="10" defaultColWidth="10.81640625" defaultRowHeight="14.5" x14ac:dyDescent="0.35"/>
  <cols>
    <col min="1" max="1" width="21.1796875" style="66" customWidth="1"/>
    <col min="2" max="2" width="14.81640625" style="66" customWidth="1"/>
    <col min="3" max="13" width="10.81640625" style="66"/>
    <col min="14" max="14" width="12.90625" style="66" customWidth="1"/>
    <col min="15" max="16384" width="10.81640625" style="66"/>
  </cols>
  <sheetData>
    <row r="1" spans="1:25" ht="21" x14ac:dyDescent="0.5">
      <c r="A1" s="85" t="s">
        <v>156</v>
      </c>
      <c r="N1" s="85" t="s">
        <v>157</v>
      </c>
    </row>
    <row r="2" spans="1:25" x14ac:dyDescent="0.35">
      <c r="A2" s="66" t="s">
        <v>158</v>
      </c>
      <c r="B2" s="66">
        <v>150304.06</v>
      </c>
      <c r="F2" s="112"/>
      <c r="G2" s="112" t="s">
        <v>159</v>
      </c>
      <c r="H2" s="112" t="s">
        <v>160</v>
      </c>
      <c r="I2" s="112" t="s">
        <v>161</v>
      </c>
      <c r="J2" s="112" t="s">
        <v>162</v>
      </c>
      <c r="N2" s="66" t="s">
        <v>158</v>
      </c>
      <c r="O2" s="66">
        <v>145976.73000000001</v>
      </c>
      <c r="S2" s="71"/>
      <c r="T2" s="112" t="s">
        <v>159</v>
      </c>
      <c r="U2" s="112" t="s">
        <v>160</v>
      </c>
      <c r="V2" s="112" t="s">
        <v>161</v>
      </c>
      <c r="W2" s="112" t="s">
        <v>162</v>
      </c>
    </row>
    <row r="3" spans="1:25" x14ac:dyDescent="0.35">
      <c r="A3" s="66" t="s">
        <v>44</v>
      </c>
      <c r="B3" s="66">
        <v>34556.720000000001</v>
      </c>
      <c r="F3" s="116" t="s">
        <v>163</v>
      </c>
      <c r="G3" s="71">
        <v>155</v>
      </c>
      <c r="H3" s="71">
        <v>20</v>
      </c>
      <c r="I3" s="71">
        <f>+G3*H3</f>
        <v>3100</v>
      </c>
      <c r="J3" s="71">
        <f>+I3*12</f>
        <v>37200</v>
      </c>
      <c r="N3" s="66" t="s">
        <v>44</v>
      </c>
      <c r="O3" s="66">
        <v>43602.16</v>
      </c>
      <c r="S3" s="116" t="s">
        <v>163</v>
      </c>
      <c r="T3" s="71">
        <f>+G3</f>
        <v>155</v>
      </c>
      <c r="U3" s="71">
        <v>20</v>
      </c>
      <c r="V3" s="71">
        <f>+T3*U3</f>
        <v>3100</v>
      </c>
      <c r="W3" s="71">
        <f>+V3*12</f>
        <v>37200</v>
      </c>
    </row>
    <row r="4" spans="1:25" x14ac:dyDescent="0.35">
      <c r="A4" s="66" t="s">
        <v>26</v>
      </c>
      <c r="B4" s="66">
        <v>10</v>
      </c>
      <c r="F4" s="116" t="s">
        <v>164</v>
      </c>
      <c r="G4" s="71">
        <v>9</v>
      </c>
      <c r="H4" s="71">
        <v>30</v>
      </c>
      <c r="I4" s="71">
        <f t="shared" ref="I4:I7" si="0">+G4*H4</f>
        <v>270</v>
      </c>
      <c r="J4" s="71">
        <f t="shared" ref="J4:J7" si="1">+I4*12</f>
        <v>3240</v>
      </c>
      <c r="N4" s="66" t="s">
        <v>26</v>
      </c>
      <c r="O4" s="66">
        <v>10</v>
      </c>
      <c r="S4" s="116" t="s">
        <v>164</v>
      </c>
      <c r="T4" s="71">
        <f t="shared" ref="T4:T7" si="2">+G4</f>
        <v>9</v>
      </c>
      <c r="U4" s="71">
        <v>30</v>
      </c>
      <c r="V4" s="71">
        <f t="shared" ref="V4:V7" si="3">+T4*U4</f>
        <v>270</v>
      </c>
      <c r="W4" s="71">
        <f t="shared" ref="W4:W7" si="4">+V4*12</f>
        <v>3240</v>
      </c>
    </row>
    <row r="5" spans="1:25" x14ac:dyDescent="0.35">
      <c r="A5" s="119" t="s">
        <v>45</v>
      </c>
      <c r="B5" s="120">
        <v>0.08</v>
      </c>
      <c r="F5" s="116" t="s">
        <v>165</v>
      </c>
      <c r="G5" s="71">
        <v>35</v>
      </c>
      <c r="H5" s="71">
        <v>15</v>
      </c>
      <c r="I5" s="71">
        <f t="shared" si="0"/>
        <v>525</v>
      </c>
      <c r="J5" s="71">
        <f t="shared" si="1"/>
        <v>6300</v>
      </c>
      <c r="N5" s="86" t="s">
        <v>45</v>
      </c>
      <c r="O5" s="87">
        <v>0.08</v>
      </c>
      <c r="S5" s="116" t="s">
        <v>165</v>
      </c>
      <c r="T5" s="71">
        <f t="shared" si="2"/>
        <v>35</v>
      </c>
      <c r="U5" s="71">
        <v>15</v>
      </c>
      <c r="V5" s="71">
        <f t="shared" si="3"/>
        <v>525</v>
      </c>
      <c r="W5" s="71">
        <f t="shared" si="4"/>
        <v>6300</v>
      </c>
    </row>
    <row r="6" spans="1:25" x14ac:dyDescent="0.35">
      <c r="A6" s="66" t="s">
        <v>178</v>
      </c>
      <c r="B6" s="73">
        <v>0.7</v>
      </c>
      <c r="F6" s="116" t="s">
        <v>166</v>
      </c>
      <c r="G6" s="71">
        <v>5</v>
      </c>
      <c r="H6" s="71">
        <v>30</v>
      </c>
      <c r="I6" s="71">
        <f t="shared" si="0"/>
        <v>150</v>
      </c>
      <c r="J6" s="71">
        <f t="shared" si="1"/>
        <v>1800</v>
      </c>
      <c r="S6" s="116" t="s">
        <v>166</v>
      </c>
      <c r="T6" s="71">
        <f t="shared" si="2"/>
        <v>5</v>
      </c>
      <c r="U6" s="71">
        <v>30</v>
      </c>
      <c r="V6" s="71">
        <f t="shared" si="3"/>
        <v>150</v>
      </c>
      <c r="W6" s="71">
        <f t="shared" si="4"/>
        <v>1800</v>
      </c>
    </row>
    <row r="7" spans="1:25" ht="15" thickBot="1" x14ac:dyDescent="0.4">
      <c r="F7" s="117" t="s">
        <v>167</v>
      </c>
      <c r="G7" s="88">
        <v>22</v>
      </c>
      <c r="H7" s="88">
        <v>40</v>
      </c>
      <c r="I7" s="88">
        <f t="shared" si="0"/>
        <v>880</v>
      </c>
      <c r="J7" s="88">
        <f t="shared" si="1"/>
        <v>10560</v>
      </c>
      <c r="S7" s="117" t="s">
        <v>167</v>
      </c>
      <c r="T7" s="71">
        <f t="shared" si="2"/>
        <v>22</v>
      </c>
      <c r="U7" s="88">
        <v>40</v>
      </c>
      <c r="V7" s="88">
        <f t="shared" si="3"/>
        <v>880</v>
      </c>
      <c r="W7" s="88">
        <f t="shared" si="4"/>
        <v>10560</v>
      </c>
    </row>
    <row r="8" spans="1:25" ht="15" thickBot="1" x14ac:dyDescent="0.4">
      <c r="F8" s="89" t="s">
        <v>168</v>
      </c>
      <c r="G8" s="90"/>
      <c r="H8" s="90"/>
      <c r="I8" s="90"/>
      <c r="J8" s="91">
        <f>SUM(J3:J7)</f>
        <v>59100</v>
      </c>
      <c r="S8" s="118" t="s">
        <v>168</v>
      </c>
      <c r="T8" s="90"/>
      <c r="U8" s="90"/>
      <c r="V8" s="90"/>
      <c r="W8" s="91">
        <f>SUM(W3:W7)</f>
        <v>59100</v>
      </c>
    </row>
    <row r="9" spans="1:25" ht="16.5" customHeight="1" x14ac:dyDescent="0.35">
      <c r="A9" s="86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</row>
    <row r="11" spans="1:25" ht="14.5" customHeight="1" x14ac:dyDescent="0.35">
      <c r="A11" s="92" t="s">
        <v>169</v>
      </c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N11" s="92" t="s">
        <v>169</v>
      </c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</row>
    <row r="12" spans="1:25" x14ac:dyDescent="0.35">
      <c r="A12" s="93" t="s">
        <v>170</v>
      </c>
      <c r="B12" s="94">
        <v>0</v>
      </c>
      <c r="C12" s="93">
        <v>1</v>
      </c>
      <c r="D12" s="93">
        <v>2</v>
      </c>
      <c r="E12" s="93">
        <v>3</v>
      </c>
      <c r="F12" s="93">
        <v>4</v>
      </c>
      <c r="G12" s="93">
        <v>5</v>
      </c>
      <c r="H12" s="93">
        <v>6</v>
      </c>
      <c r="I12" s="93">
        <v>7</v>
      </c>
      <c r="J12" s="93">
        <v>8</v>
      </c>
      <c r="K12" s="93">
        <v>9</v>
      </c>
      <c r="L12" s="93">
        <v>10</v>
      </c>
      <c r="N12" s="93" t="s">
        <v>170</v>
      </c>
      <c r="O12" s="94">
        <v>0</v>
      </c>
      <c r="P12" s="93">
        <v>1</v>
      </c>
      <c r="Q12" s="93">
        <v>2</v>
      </c>
      <c r="R12" s="93">
        <v>3</v>
      </c>
      <c r="S12" s="93">
        <v>4</v>
      </c>
      <c r="T12" s="93">
        <v>5</v>
      </c>
      <c r="U12" s="93">
        <v>6</v>
      </c>
      <c r="V12" s="93">
        <v>7</v>
      </c>
      <c r="W12" s="93">
        <v>8</v>
      </c>
      <c r="X12" s="93">
        <v>9</v>
      </c>
      <c r="Y12" s="93">
        <v>10</v>
      </c>
    </row>
    <row r="13" spans="1:25" x14ac:dyDescent="0.35">
      <c r="A13" s="93" t="s">
        <v>171</v>
      </c>
      <c r="B13" s="95">
        <f>-B2</f>
        <v>-150304.06</v>
      </c>
      <c r="C13" s="95"/>
      <c r="D13" s="95"/>
      <c r="E13" s="95"/>
      <c r="F13" s="95"/>
      <c r="G13" s="95"/>
      <c r="H13" s="95"/>
      <c r="I13" s="95"/>
      <c r="J13" s="95"/>
      <c r="K13" s="95"/>
      <c r="L13" s="95"/>
      <c r="N13" s="93" t="s">
        <v>171</v>
      </c>
      <c r="O13" s="95">
        <f>-O2</f>
        <v>-145976.73000000001</v>
      </c>
      <c r="P13" s="95"/>
      <c r="Q13" s="95"/>
      <c r="R13" s="95"/>
      <c r="S13" s="95"/>
      <c r="T13" s="95"/>
      <c r="U13" s="95"/>
      <c r="V13" s="95"/>
      <c r="W13" s="95"/>
      <c r="X13" s="95"/>
      <c r="Y13" s="95"/>
    </row>
    <row r="14" spans="1:25" x14ac:dyDescent="0.35">
      <c r="A14" s="93"/>
      <c r="B14" s="96">
        <f>-B31*B13</f>
        <v>105212.84199999999</v>
      </c>
      <c r="C14" s="97">
        <f>+C37</f>
        <v>0</v>
      </c>
      <c r="D14" s="97">
        <f t="shared" ref="D14:L14" si="5">+D37</f>
        <v>0</v>
      </c>
      <c r="E14" s="97">
        <f t="shared" si="5"/>
        <v>0</v>
      </c>
      <c r="F14" s="97">
        <f t="shared" si="5"/>
        <v>0</v>
      </c>
      <c r="G14" s="97">
        <f t="shared" si="5"/>
        <v>0</v>
      </c>
      <c r="H14" s="97">
        <f t="shared" si="5"/>
        <v>0</v>
      </c>
      <c r="I14" s="97">
        <f t="shared" si="5"/>
        <v>0</v>
      </c>
      <c r="J14" s="97">
        <f t="shared" si="5"/>
        <v>0</v>
      </c>
      <c r="K14" s="97">
        <f t="shared" si="5"/>
        <v>0</v>
      </c>
      <c r="L14" s="97">
        <f t="shared" si="5"/>
        <v>105212.84199999999</v>
      </c>
      <c r="N14" s="93" t="s">
        <v>37</v>
      </c>
      <c r="O14" s="95">
        <f>-O31*O13</f>
        <v>102183.711</v>
      </c>
      <c r="P14" s="97">
        <f>+O9</f>
        <v>0</v>
      </c>
      <c r="Q14" s="97">
        <f>+P14</f>
        <v>0</v>
      </c>
      <c r="R14" s="97">
        <f t="shared" ref="R14:Y16" si="6">+Q14</f>
        <v>0</v>
      </c>
      <c r="S14" s="97">
        <f t="shared" si="6"/>
        <v>0</v>
      </c>
      <c r="T14" s="97">
        <f t="shared" si="6"/>
        <v>0</v>
      </c>
      <c r="U14" s="97">
        <f t="shared" si="6"/>
        <v>0</v>
      </c>
      <c r="V14" s="97">
        <f t="shared" si="6"/>
        <v>0</v>
      </c>
      <c r="W14" s="97">
        <f t="shared" si="6"/>
        <v>0</v>
      </c>
      <c r="X14" s="97">
        <f t="shared" si="6"/>
        <v>0</v>
      </c>
      <c r="Y14" s="98">
        <f>+O14</f>
        <v>102183.711</v>
      </c>
    </row>
    <row r="15" spans="1:25" x14ac:dyDescent="0.35">
      <c r="A15" s="93" t="s">
        <v>172</v>
      </c>
      <c r="B15" s="95"/>
      <c r="C15" s="99">
        <f>+J8</f>
        <v>59100</v>
      </c>
      <c r="D15" s="99">
        <f>+C15</f>
        <v>59100</v>
      </c>
      <c r="E15" s="99">
        <f t="shared" ref="E15:L16" si="7">+D15</f>
        <v>59100</v>
      </c>
      <c r="F15" s="99">
        <f t="shared" si="7"/>
        <v>59100</v>
      </c>
      <c r="G15" s="99">
        <f t="shared" si="7"/>
        <v>59100</v>
      </c>
      <c r="H15" s="99">
        <f t="shared" si="7"/>
        <v>59100</v>
      </c>
      <c r="I15" s="99">
        <f t="shared" si="7"/>
        <v>59100</v>
      </c>
      <c r="J15" s="99">
        <f t="shared" si="7"/>
        <v>59100</v>
      </c>
      <c r="K15" s="99">
        <f t="shared" si="7"/>
        <v>59100</v>
      </c>
      <c r="L15" s="99">
        <f t="shared" si="7"/>
        <v>59100</v>
      </c>
      <c r="N15" s="93" t="s">
        <v>172</v>
      </c>
      <c r="O15" s="95"/>
      <c r="P15" s="99">
        <f>+W8</f>
        <v>59100</v>
      </c>
      <c r="Q15" s="99">
        <f>+P15</f>
        <v>59100</v>
      </c>
      <c r="R15" s="99">
        <f t="shared" si="6"/>
        <v>59100</v>
      </c>
      <c r="S15" s="99">
        <f t="shared" si="6"/>
        <v>59100</v>
      </c>
      <c r="T15" s="99">
        <f t="shared" si="6"/>
        <v>59100</v>
      </c>
      <c r="U15" s="99">
        <f t="shared" si="6"/>
        <v>59100</v>
      </c>
      <c r="V15" s="99">
        <f t="shared" si="6"/>
        <v>59100</v>
      </c>
      <c r="W15" s="99">
        <f t="shared" si="6"/>
        <v>59100</v>
      </c>
      <c r="X15" s="99">
        <f t="shared" si="6"/>
        <v>59100</v>
      </c>
      <c r="Y15" s="99">
        <f t="shared" si="6"/>
        <v>59100</v>
      </c>
    </row>
    <row r="16" spans="1:25" x14ac:dyDescent="0.35">
      <c r="A16" s="93" t="s">
        <v>173</v>
      </c>
      <c r="B16" s="95"/>
      <c r="C16" s="99">
        <f>+B3</f>
        <v>34556.720000000001</v>
      </c>
      <c r="D16" s="99">
        <f>+C16</f>
        <v>34556.720000000001</v>
      </c>
      <c r="E16" s="99">
        <f t="shared" si="7"/>
        <v>34556.720000000001</v>
      </c>
      <c r="F16" s="99">
        <f t="shared" si="7"/>
        <v>34556.720000000001</v>
      </c>
      <c r="G16" s="99">
        <f t="shared" si="7"/>
        <v>34556.720000000001</v>
      </c>
      <c r="H16" s="99">
        <f t="shared" si="7"/>
        <v>34556.720000000001</v>
      </c>
      <c r="I16" s="99">
        <f t="shared" si="7"/>
        <v>34556.720000000001</v>
      </c>
      <c r="J16" s="99">
        <f t="shared" si="7"/>
        <v>34556.720000000001</v>
      </c>
      <c r="K16" s="99">
        <f t="shared" si="7"/>
        <v>34556.720000000001</v>
      </c>
      <c r="L16" s="99">
        <f t="shared" si="7"/>
        <v>34556.720000000001</v>
      </c>
      <c r="N16" s="93" t="s">
        <v>173</v>
      </c>
      <c r="O16" s="95"/>
      <c r="P16" s="99">
        <f>+O3</f>
        <v>43602.16</v>
      </c>
      <c r="Q16" s="99">
        <f>+P16</f>
        <v>43602.16</v>
      </c>
      <c r="R16" s="99">
        <f t="shared" si="6"/>
        <v>43602.16</v>
      </c>
      <c r="S16" s="99">
        <f t="shared" si="6"/>
        <v>43602.16</v>
      </c>
      <c r="T16" s="99">
        <f t="shared" si="6"/>
        <v>43602.16</v>
      </c>
      <c r="U16" s="99">
        <f t="shared" si="6"/>
        <v>43602.16</v>
      </c>
      <c r="V16" s="99">
        <f t="shared" si="6"/>
        <v>43602.16</v>
      </c>
      <c r="W16" s="99">
        <f t="shared" si="6"/>
        <v>43602.16</v>
      </c>
      <c r="X16" s="99">
        <f t="shared" si="6"/>
        <v>43602.16</v>
      </c>
      <c r="Y16" s="99">
        <f t="shared" si="6"/>
        <v>43602.16</v>
      </c>
    </row>
    <row r="17" spans="1:25" x14ac:dyDescent="0.35">
      <c r="A17" s="93" t="s">
        <v>60</v>
      </c>
      <c r="B17" s="95"/>
      <c r="C17" s="100">
        <f>+C15-C16</f>
        <v>24543.279999999999</v>
      </c>
      <c r="D17" s="100">
        <f t="shared" ref="D17:L17" si="8">+D15-D16</f>
        <v>24543.279999999999</v>
      </c>
      <c r="E17" s="100">
        <f t="shared" si="8"/>
        <v>24543.279999999999</v>
      </c>
      <c r="F17" s="100">
        <f t="shared" si="8"/>
        <v>24543.279999999999</v>
      </c>
      <c r="G17" s="100">
        <f t="shared" si="8"/>
        <v>24543.279999999999</v>
      </c>
      <c r="H17" s="100">
        <f t="shared" si="8"/>
        <v>24543.279999999999</v>
      </c>
      <c r="I17" s="100">
        <f t="shared" si="8"/>
        <v>24543.279999999999</v>
      </c>
      <c r="J17" s="100">
        <f t="shared" si="8"/>
        <v>24543.279999999999</v>
      </c>
      <c r="K17" s="100">
        <f t="shared" si="8"/>
        <v>24543.279999999999</v>
      </c>
      <c r="L17" s="100">
        <f t="shared" si="8"/>
        <v>24543.279999999999</v>
      </c>
      <c r="N17" s="93" t="s">
        <v>60</v>
      </c>
      <c r="O17" s="95"/>
      <c r="P17" s="100">
        <f>+P15-P16</f>
        <v>15497.839999999997</v>
      </c>
      <c r="Q17" s="100">
        <f t="shared" ref="Q17:Y17" si="9">+Q15-Q16</f>
        <v>15497.839999999997</v>
      </c>
      <c r="R17" s="100">
        <f t="shared" si="9"/>
        <v>15497.839999999997</v>
      </c>
      <c r="S17" s="100">
        <f t="shared" si="9"/>
        <v>15497.839999999997</v>
      </c>
      <c r="T17" s="100">
        <f t="shared" si="9"/>
        <v>15497.839999999997</v>
      </c>
      <c r="U17" s="100">
        <f t="shared" si="9"/>
        <v>15497.839999999997</v>
      </c>
      <c r="V17" s="100">
        <f t="shared" si="9"/>
        <v>15497.839999999997</v>
      </c>
      <c r="W17" s="100">
        <f t="shared" si="9"/>
        <v>15497.839999999997</v>
      </c>
      <c r="X17" s="100">
        <f t="shared" si="9"/>
        <v>15497.839999999997</v>
      </c>
      <c r="Y17" s="100">
        <f t="shared" si="9"/>
        <v>15497.839999999997</v>
      </c>
    </row>
    <row r="18" spans="1:25" x14ac:dyDescent="0.35">
      <c r="A18" s="93" t="s">
        <v>16</v>
      </c>
      <c r="B18" s="95"/>
      <c r="C18" s="100">
        <f>-B13/10</f>
        <v>15030.405999999999</v>
      </c>
      <c r="D18" s="100">
        <f>+C18</f>
        <v>15030.405999999999</v>
      </c>
      <c r="E18" s="100">
        <f t="shared" ref="E18:L18" si="10">+D18</f>
        <v>15030.405999999999</v>
      </c>
      <c r="F18" s="100">
        <f t="shared" si="10"/>
        <v>15030.405999999999</v>
      </c>
      <c r="G18" s="100">
        <f t="shared" si="10"/>
        <v>15030.405999999999</v>
      </c>
      <c r="H18" s="100">
        <f t="shared" si="10"/>
        <v>15030.405999999999</v>
      </c>
      <c r="I18" s="100">
        <f t="shared" si="10"/>
        <v>15030.405999999999</v>
      </c>
      <c r="J18" s="100">
        <f t="shared" si="10"/>
        <v>15030.405999999999</v>
      </c>
      <c r="K18" s="100">
        <f t="shared" si="10"/>
        <v>15030.405999999999</v>
      </c>
      <c r="L18" s="100">
        <f t="shared" si="10"/>
        <v>15030.405999999999</v>
      </c>
      <c r="N18" s="93" t="s">
        <v>16</v>
      </c>
      <c r="O18" s="95"/>
      <c r="P18" s="100">
        <f>-O13/10</f>
        <v>14597.673000000001</v>
      </c>
      <c r="Q18" s="100">
        <f>+P18</f>
        <v>14597.673000000001</v>
      </c>
      <c r="R18" s="100">
        <f t="shared" ref="R18:Y18" si="11">+Q18</f>
        <v>14597.673000000001</v>
      </c>
      <c r="S18" s="100">
        <f t="shared" si="11"/>
        <v>14597.673000000001</v>
      </c>
      <c r="T18" s="100">
        <f t="shared" si="11"/>
        <v>14597.673000000001</v>
      </c>
      <c r="U18" s="100">
        <f t="shared" si="11"/>
        <v>14597.673000000001</v>
      </c>
      <c r="V18" s="100">
        <f t="shared" si="11"/>
        <v>14597.673000000001</v>
      </c>
      <c r="W18" s="100">
        <f t="shared" si="11"/>
        <v>14597.673000000001</v>
      </c>
      <c r="X18" s="100">
        <f t="shared" si="11"/>
        <v>14597.673000000001</v>
      </c>
      <c r="Y18" s="100">
        <f t="shared" si="11"/>
        <v>14597.673000000001</v>
      </c>
    </row>
    <row r="19" spans="1:25" x14ac:dyDescent="0.35">
      <c r="A19" s="93" t="s">
        <v>17</v>
      </c>
      <c r="B19" s="95"/>
      <c r="C19" s="100">
        <f>+C17-C18</f>
        <v>9512.8739999999998</v>
      </c>
      <c r="D19" s="100">
        <f t="shared" ref="D19:L19" si="12">+D17-D18</f>
        <v>9512.8739999999998</v>
      </c>
      <c r="E19" s="100">
        <f t="shared" si="12"/>
        <v>9512.8739999999998</v>
      </c>
      <c r="F19" s="100">
        <f t="shared" si="12"/>
        <v>9512.8739999999998</v>
      </c>
      <c r="G19" s="100">
        <f t="shared" si="12"/>
        <v>9512.8739999999998</v>
      </c>
      <c r="H19" s="100">
        <f t="shared" si="12"/>
        <v>9512.8739999999998</v>
      </c>
      <c r="I19" s="100">
        <f t="shared" si="12"/>
        <v>9512.8739999999998</v>
      </c>
      <c r="J19" s="100">
        <f t="shared" si="12"/>
        <v>9512.8739999999998</v>
      </c>
      <c r="K19" s="100">
        <f t="shared" si="12"/>
        <v>9512.8739999999998</v>
      </c>
      <c r="L19" s="100">
        <f t="shared" si="12"/>
        <v>9512.8739999999998</v>
      </c>
      <c r="N19" s="93" t="s">
        <v>17</v>
      </c>
      <c r="O19" s="95"/>
      <c r="P19" s="100">
        <f>+P17-P18</f>
        <v>900.16699999999582</v>
      </c>
      <c r="Q19" s="100">
        <f t="shared" ref="Q19:Y19" si="13">+Q17-Q18</f>
        <v>900.16699999999582</v>
      </c>
      <c r="R19" s="100">
        <f t="shared" si="13"/>
        <v>900.16699999999582</v>
      </c>
      <c r="S19" s="100">
        <f t="shared" si="13"/>
        <v>900.16699999999582</v>
      </c>
      <c r="T19" s="100">
        <f t="shared" si="13"/>
        <v>900.16699999999582</v>
      </c>
      <c r="U19" s="100">
        <f t="shared" si="13"/>
        <v>900.16699999999582</v>
      </c>
      <c r="V19" s="100">
        <f t="shared" si="13"/>
        <v>900.16699999999582</v>
      </c>
      <c r="W19" s="100">
        <f t="shared" si="13"/>
        <v>900.16699999999582</v>
      </c>
      <c r="X19" s="100">
        <f t="shared" si="13"/>
        <v>900.16699999999582</v>
      </c>
      <c r="Y19" s="100">
        <f t="shared" si="13"/>
        <v>900.16699999999582</v>
      </c>
    </row>
    <row r="20" spans="1:25" x14ac:dyDescent="0.35">
      <c r="A20" s="93" t="s">
        <v>136</v>
      </c>
      <c r="B20" s="95"/>
      <c r="C20" s="100">
        <f>+C36</f>
        <v>6312.7705199999991</v>
      </c>
      <c r="D20" s="100">
        <f t="shared" ref="D20:L20" si="14">+D36</f>
        <v>6312.7705199999991</v>
      </c>
      <c r="E20" s="100">
        <f t="shared" si="14"/>
        <v>6312.7705199999991</v>
      </c>
      <c r="F20" s="100">
        <f t="shared" si="14"/>
        <v>6312.7705199999991</v>
      </c>
      <c r="G20" s="100">
        <f t="shared" si="14"/>
        <v>6312.7705199999991</v>
      </c>
      <c r="H20" s="100">
        <f t="shared" si="14"/>
        <v>6312.7705199999991</v>
      </c>
      <c r="I20" s="100">
        <f t="shared" si="14"/>
        <v>6312.7705199999991</v>
      </c>
      <c r="J20" s="100">
        <f t="shared" si="14"/>
        <v>6312.7705199999991</v>
      </c>
      <c r="K20" s="100">
        <f t="shared" si="14"/>
        <v>6312.7705199999991</v>
      </c>
      <c r="L20" s="100">
        <f t="shared" si="14"/>
        <v>6312.7705199999991</v>
      </c>
      <c r="N20" s="93" t="s">
        <v>136</v>
      </c>
      <c r="O20" s="95"/>
      <c r="P20" s="100">
        <f>+P36</f>
        <v>6131.0226599999996</v>
      </c>
      <c r="Q20" s="100">
        <f t="shared" ref="Q20:Y20" si="15">+Q36</f>
        <v>6131.0226599999996</v>
      </c>
      <c r="R20" s="100">
        <f t="shared" si="15"/>
        <v>6131.0226599999996</v>
      </c>
      <c r="S20" s="100">
        <f t="shared" si="15"/>
        <v>6131.0226599999996</v>
      </c>
      <c r="T20" s="100">
        <f t="shared" si="15"/>
        <v>6131.0226599999996</v>
      </c>
      <c r="U20" s="100">
        <f t="shared" si="15"/>
        <v>6131.0226599999996</v>
      </c>
      <c r="V20" s="100">
        <f t="shared" si="15"/>
        <v>6131.0226599999996</v>
      </c>
      <c r="W20" s="100">
        <f t="shared" si="15"/>
        <v>6131.0226599999996</v>
      </c>
      <c r="X20" s="100">
        <f t="shared" si="15"/>
        <v>6131.0226599999996</v>
      </c>
      <c r="Y20" s="100">
        <f t="shared" si="15"/>
        <v>6131.0226599999996</v>
      </c>
    </row>
    <row r="21" spans="1:25" x14ac:dyDescent="0.35">
      <c r="A21" s="93" t="s">
        <v>41</v>
      </c>
      <c r="B21" s="95"/>
      <c r="C21" s="100">
        <f>+C19-C20</f>
        <v>3200.1034800000007</v>
      </c>
      <c r="D21" s="100">
        <f t="shared" ref="D21:L21" si="16">+D19-D20</f>
        <v>3200.1034800000007</v>
      </c>
      <c r="E21" s="100">
        <f t="shared" si="16"/>
        <v>3200.1034800000007</v>
      </c>
      <c r="F21" s="100">
        <f t="shared" si="16"/>
        <v>3200.1034800000007</v>
      </c>
      <c r="G21" s="100">
        <f t="shared" si="16"/>
        <v>3200.1034800000007</v>
      </c>
      <c r="H21" s="100">
        <f t="shared" si="16"/>
        <v>3200.1034800000007</v>
      </c>
      <c r="I21" s="100">
        <f t="shared" si="16"/>
        <v>3200.1034800000007</v>
      </c>
      <c r="J21" s="100">
        <f t="shared" si="16"/>
        <v>3200.1034800000007</v>
      </c>
      <c r="K21" s="100">
        <f t="shared" si="16"/>
        <v>3200.1034800000007</v>
      </c>
      <c r="L21" s="100">
        <f t="shared" si="16"/>
        <v>3200.1034800000007</v>
      </c>
      <c r="N21" s="93" t="s">
        <v>41</v>
      </c>
      <c r="O21" s="95"/>
      <c r="P21" s="100">
        <f>+P19-P20</f>
        <v>-5230.8556600000038</v>
      </c>
      <c r="Q21" s="100">
        <f t="shared" ref="Q21:Y21" si="17">+Q19-Q20</f>
        <v>-5230.8556600000038</v>
      </c>
      <c r="R21" s="100">
        <f t="shared" si="17"/>
        <v>-5230.8556600000038</v>
      </c>
      <c r="S21" s="100">
        <f t="shared" si="17"/>
        <v>-5230.8556600000038</v>
      </c>
      <c r="T21" s="100">
        <f t="shared" si="17"/>
        <v>-5230.8556600000038</v>
      </c>
      <c r="U21" s="100">
        <f t="shared" si="17"/>
        <v>-5230.8556600000038</v>
      </c>
      <c r="V21" s="100">
        <f t="shared" si="17"/>
        <v>-5230.8556600000038</v>
      </c>
      <c r="W21" s="100">
        <f t="shared" si="17"/>
        <v>-5230.8556600000038</v>
      </c>
      <c r="X21" s="100">
        <f t="shared" si="17"/>
        <v>-5230.8556600000038</v>
      </c>
      <c r="Y21" s="100">
        <f t="shared" si="17"/>
        <v>-5230.8556600000038</v>
      </c>
    </row>
    <row r="22" spans="1:25" x14ac:dyDescent="0.35">
      <c r="A22" s="93" t="s">
        <v>21</v>
      </c>
      <c r="B22" s="95"/>
      <c r="C22" s="100">
        <f>IF(C21&lt;0,0,C21*0.3)</f>
        <v>960.03104400000018</v>
      </c>
      <c r="D22" s="100">
        <f t="shared" ref="D22:L22" si="18">IF(D21&lt;0,0,D21*0.3)</f>
        <v>960.03104400000018</v>
      </c>
      <c r="E22" s="100">
        <f t="shared" si="18"/>
        <v>960.03104400000018</v>
      </c>
      <c r="F22" s="100">
        <f t="shared" si="18"/>
        <v>960.03104400000018</v>
      </c>
      <c r="G22" s="100">
        <f t="shared" si="18"/>
        <v>960.03104400000018</v>
      </c>
      <c r="H22" s="100">
        <f t="shared" si="18"/>
        <v>960.03104400000018</v>
      </c>
      <c r="I22" s="100">
        <f t="shared" si="18"/>
        <v>960.03104400000018</v>
      </c>
      <c r="J22" s="100">
        <f t="shared" si="18"/>
        <v>960.03104400000018</v>
      </c>
      <c r="K22" s="100">
        <f t="shared" si="18"/>
        <v>960.03104400000018</v>
      </c>
      <c r="L22" s="100">
        <f t="shared" si="18"/>
        <v>960.03104400000018</v>
      </c>
      <c r="N22" s="93" t="s">
        <v>21</v>
      </c>
      <c r="O22" s="95"/>
      <c r="P22" s="100">
        <f>IF(P21&lt;0,0,P21*0.3)</f>
        <v>0</v>
      </c>
      <c r="Q22" s="100">
        <f t="shared" ref="Q22:Y22" si="19">IF(Q21&lt;0,0,Q21*0.3)</f>
        <v>0</v>
      </c>
      <c r="R22" s="100">
        <f t="shared" si="19"/>
        <v>0</v>
      </c>
      <c r="S22" s="100">
        <f t="shared" si="19"/>
        <v>0</v>
      </c>
      <c r="T22" s="100">
        <f t="shared" si="19"/>
        <v>0</v>
      </c>
      <c r="U22" s="100">
        <f t="shared" si="19"/>
        <v>0</v>
      </c>
      <c r="V22" s="100">
        <f t="shared" si="19"/>
        <v>0</v>
      </c>
      <c r="W22" s="100">
        <f t="shared" si="19"/>
        <v>0</v>
      </c>
      <c r="X22" s="100">
        <f t="shared" si="19"/>
        <v>0</v>
      </c>
      <c r="Y22" s="100">
        <f t="shared" si="19"/>
        <v>0</v>
      </c>
    </row>
    <row r="23" spans="1:25" x14ac:dyDescent="0.35">
      <c r="A23" s="93" t="s">
        <v>18</v>
      </c>
      <c r="B23" s="95"/>
      <c r="C23" s="100">
        <f>+C21-C22</f>
        <v>2240.0724360000004</v>
      </c>
      <c r="D23" s="100">
        <f t="shared" ref="D23:L23" si="20">+D21-D22</f>
        <v>2240.0724360000004</v>
      </c>
      <c r="E23" s="100">
        <f t="shared" si="20"/>
        <v>2240.0724360000004</v>
      </c>
      <c r="F23" s="100">
        <f t="shared" si="20"/>
        <v>2240.0724360000004</v>
      </c>
      <c r="G23" s="100">
        <f t="shared" si="20"/>
        <v>2240.0724360000004</v>
      </c>
      <c r="H23" s="100">
        <f t="shared" si="20"/>
        <v>2240.0724360000004</v>
      </c>
      <c r="I23" s="100">
        <f t="shared" si="20"/>
        <v>2240.0724360000004</v>
      </c>
      <c r="J23" s="100">
        <f t="shared" si="20"/>
        <v>2240.0724360000004</v>
      </c>
      <c r="K23" s="100">
        <f t="shared" si="20"/>
        <v>2240.0724360000004</v>
      </c>
      <c r="L23" s="100">
        <f t="shared" si="20"/>
        <v>2240.0724360000004</v>
      </c>
      <c r="N23" s="93" t="s">
        <v>18</v>
      </c>
      <c r="O23" s="95"/>
      <c r="P23" s="100">
        <f>+P21-P22</f>
        <v>-5230.8556600000038</v>
      </c>
      <c r="Q23" s="100">
        <f t="shared" ref="Q23:Y23" si="21">+Q21-Q22</f>
        <v>-5230.8556600000038</v>
      </c>
      <c r="R23" s="100">
        <f t="shared" si="21"/>
        <v>-5230.8556600000038</v>
      </c>
      <c r="S23" s="100">
        <f t="shared" si="21"/>
        <v>-5230.8556600000038</v>
      </c>
      <c r="T23" s="100">
        <f t="shared" si="21"/>
        <v>-5230.8556600000038</v>
      </c>
      <c r="U23" s="100">
        <f t="shared" si="21"/>
        <v>-5230.8556600000038</v>
      </c>
      <c r="V23" s="100">
        <f t="shared" si="21"/>
        <v>-5230.8556600000038</v>
      </c>
      <c r="W23" s="100">
        <f t="shared" si="21"/>
        <v>-5230.8556600000038</v>
      </c>
      <c r="X23" s="100">
        <f t="shared" si="21"/>
        <v>-5230.8556600000038</v>
      </c>
      <c r="Y23" s="100">
        <f t="shared" si="21"/>
        <v>-5230.8556600000038</v>
      </c>
    </row>
    <row r="24" spans="1:25" x14ac:dyDescent="0.35">
      <c r="A24" s="93" t="s">
        <v>174</v>
      </c>
      <c r="B24" s="99">
        <f>+B13+B14</f>
        <v>-45091.218000000008</v>
      </c>
      <c r="C24" s="100">
        <f>+C23+C18-C14</f>
        <v>17270.478435999998</v>
      </c>
      <c r="D24" s="100">
        <f t="shared" ref="D24:K24" si="22">+D23+D18-D14</f>
        <v>17270.478435999998</v>
      </c>
      <c r="E24" s="100">
        <f t="shared" si="22"/>
        <v>17270.478435999998</v>
      </c>
      <c r="F24" s="100">
        <f t="shared" si="22"/>
        <v>17270.478435999998</v>
      </c>
      <c r="G24" s="100">
        <f t="shared" si="22"/>
        <v>17270.478435999998</v>
      </c>
      <c r="H24" s="100">
        <f t="shared" si="22"/>
        <v>17270.478435999998</v>
      </c>
      <c r="I24" s="100">
        <f t="shared" si="22"/>
        <v>17270.478435999998</v>
      </c>
      <c r="J24" s="100">
        <f t="shared" si="22"/>
        <v>17270.478435999998</v>
      </c>
      <c r="K24" s="100">
        <f t="shared" si="22"/>
        <v>17270.478435999998</v>
      </c>
      <c r="L24" s="100">
        <f>+L23+L18-L14</f>
        <v>-87942.363563999999</v>
      </c>
      <c r="N24" s="93" t="s">
        <v>174</v>
      </c>
      <c r="O24" s="99">
        <f>+O13+O14</f>
        <v>-43793.019000000015</v>
      </c>
      <c r="P24" s="100">
        <f>+P23+P18</f>
        <v>9366.8173399999978</v>
      </c>
      <c r="Q24" s="100">
        <f t="shared" ref="Q24:X24" si="23">+Q23+Q18</f>
        <v>9366.8173399999978</v>
      </c>
      <c r="R24" s="100">
        <f t="shared" si="23"/>
        <v>9366.8173399999978</v>
      </c>
      <c r="S24" s="100">
        <f t="shared" si="23"/>
        <v>9366.8173399999978</v>
      </c>
      <c r="T24" s="100">
        <f t="shared" si="23"/>
        <v>9366.8173399999978</v>
      </c>
      <c r="U24" s="100">
        <f t="shared" si="23"/>
        <v>9366.8173399999978</v>
      </c>
      <c r="V24" s="100">
        <f t="shared" si="23"/>
        <v>9366.8173399999978</v>
      </c>
      <c r="W24" s="100">
        <f t="shared" si="23"/>
        <v>9366.8173399999978</v>
      </c>
      <c r="X24" s="100">
        <f t="shared" si="23"/>
        <v>9366.8173399999978</v>
      </c>
      <c r="Y24" s="100">
        <f>+Y23+Y18-Y14</f>
        <v>-92816.893660000002</v>
      </c>
    </row>
    <row r="25" spans="1:25" x14ac:dyDescent="0.35">
      <c r="A25" s="93" t="s">
        <v>42</v>
      </c>
      <c r="B25" s="101">
        <f>NPV(B5,C24:L24)</f>
        <v>67152.412826940083</v>
      </c>
      <c r="C25" s="102"/>
      <c r="D25" s="103"/>
      <c r="E25" s="103"/>
      <c r="F25" s="103"/>
      <c r="G25" s="103"/>
      <c r="H25" s="103"/>
      <c r="I25" s="103"/>
      <c r="J25" s="103"/>
      <c r="K25" s="103"/>
      <c r="L25" s="104"/>
      <c r="N25" s="93" t="s">
        <v>42</v>
      </c>
      <c r="O25" s="101">
        <f>NPV(O5,P24:Y24)</f>
        <v>15521.277276888832</v>
      </c>
      <c r="P25" s="102"/>
      <c r="Q25" s="103"/>
      <c r="R25" s="103"/>
      <c r="S25" s="103"/>
      <c r="T25" s="103"/>
      <c r="U25" s="103"/>
      <c r="V25" s="103"/>
      <c r="W25" s="103"/>
      <c r="X25" s="103"/>
      <c r="Y25" s="104"/>
    </row>
    <row r="26" spans="1:25" x14ac:dyDescent="0.35">
      <c r="A26" s="93" t="s">
        <v>22</v>
      </c>
      <c r="B26" s="101">
        <f>+B24+B25</f>
        <v>22061.194826940075</v>
      </c>
      <c r="C26" s="105"/>
      <c r="D26" s="106"/>
      <c r="E26" s="106"/>
      <c r="F26" s="106"/>
      <c r="G26" s="106"/>
      <c r="H26" s="106"/>
      <c r="I26" s="106"/>
      <c r="J26" s="106"/>
      <c r="K26" s="106"/>
      <c r="L26" s="107"/>
      <c r="N26" s="93" t="s">
        <v>22</v>
      </c>
      <c r="O26" s="101">
        <f>+O24+O25</f>
        <v>-28271.741723111183</v>
      </c>
      <c r="P26" s="105"/>
      <c r="Q26" s="106"/>
      <c r="R26" s="106"/>
      <c r="S26" s="106"/>
      <c r="T26" s="106"/>
      <c r="U26" s="106"/>
      <c r="V26" s="106"/>
      <c r="W26" s="106"/>
      <c r="X26" s="106"/>
      <c r="Y26" s="107"/>
    </row>
    <row r="28" spans="1:25" x14ac:dyDescent="0.35">
      <c r="A28" s="108"/>
      <c r="B28" s="66" t="s">
        <v>179</v>
      </c>
      <c r="N28" s="108"/>
    </row>
    <row r="29" spans="1:25" x14ac:dyDescent="0.35">
      <c r="A29" s="86"/>
      <c r="B29" s="66" t="s">
        <v>180</v>
      </c>
      <c r="C29" s="86"/>
      <c r="D29" s="86"/>
      <c r="E29" s="86"/>
      <c r="F29" s="86"/>
      <c r="G29" s="86"/>
      <c r="H29" s="86"/>
      <c r="I29" s="86"/>
      <c r="J29" s="86"/>
      <c r="K29" s="86"/>
      <c r="L29" s="86"/>
      <c r="N29" s="86"/>
      <c r="O29" s="87"/>
      <c r="P29" s="86"/>
      <c r="Q29" s="86"/>
      <c r="R29" s="86"/>
      <c r="S29" s="86"/>
      <c r="T29" s="86"/>
      <c r="U29" s="86"/>
      <c r="V29" s="86"/>
      <c r="W29" s="86"/>
      <c r="X29" s="86"/>
      <c r="Y29" s="86"/>
    </row>
    <row r="30" spans="1:25" x14ac:dyDescent="0.35">
      <c r="A30" s="86"/>
      <c r="B30" s="87"/>
      <c r="C30" s="86"/>
      <c r="D30" s="86"/>
      <c r="E30" s="86"/>
      <c r="F30" s="86"/>
      <c r="G30" s="86"/>
      <c r="H30" s="86"/>
      <c r="I30" s="86"/>
      <c r="J30" s="86"/>
      <c r="K30" s="86"/>
      <c r="L30" s="86"/>
      <c r="N30" s="86"/>
      <c r="O30" s="87"/>
      <c r="P30" s="86"/>
      <c r="Q30" s="86"/>
      <c r="R30" s="86"/>
      <c r="S30" s="86"/>
      <c r="T30" s="86"/>
      <c r="U30" s="86"/>
      <c r="V30" s="86"/>
      <c r="W30" s="86"/>
      <c r="X30" s="86"/>
      <c r="Y30" s="86"/>
    </row>
    <row r="31" spans="1:25" x14ac:dyDescent="0.35">
      <c r="A31" s="108" t="s">
        <v>175</v>
      </c>
      <c r="B31" s="109">
        <f>+B6</f>
        <v>0.7</v>
      </c>
      <c r="N31" s="108" t="s">
        <v>175</v>
      </c>
      <c r="O31" s="109">
        <v>0.7</v>
      </c>
    </row>
    <row r="32" spans="1:25" x14ac:dyDescent="0.35">
      <c r="A32" s="108" t="s">
        <v>19</v>
      </c>
      <c r="B32" s="73">
        <v>0.06</v>
      </c>
      <c r="N32" s="108" t="s">
        <v>19</v>
      </c>
      <c r="O32" s="73">
        <v>0.06</v>
      </c>
    </row>
    <row r="33" spans="1:25" x14ac:dyDescent="0.35">
      <c r="B33" s="110">
        <v>0</v>
      </c>
      <c r="C33" s="93">
        <v>1</v>
      </c>
      <c r="D33" s="93">
        <v>2</v>
      </c>
      <c r="E33" s="93">
        <v>3</v>
      </c>
      <c r="F33" s="93">
        <v>4</v>
      </c>
      <c r="G33" s="93">
        <v>5</v>
      </c>
      <c r="H33" s="93">
        <v>6</v>
      </c>
      <c r="I33" s="93">
        <v>7</v>
      </c>
      <c r="J33" s="93">
        <v>8</v>
      </c>
      <c r="K33" s="93">
        <v>9</v>
      </c>
      <c r="L33" s="93">
        <v>10</v>
      </c>
      <c r="O33" s="110">
        <v>0</v>
      </c>
      <c r="P33" s="93">
        <v>1</v>
      </c>
      <c r="Q33" s="93">
        <v>2</v>
      </c>
      <c r="R33" s="93">
        <v>3</v>
      </c>
      <c r="S33" s="93">
        <v>4</v>
      </c>
      <c r="T33" s="93">
        <v>5</v>
      </c>
      <c r="U33" s="93">
        <v>6</v>
      </c>
      <c r="V33" s="93">
        <v>7</v>
      </c>
      <c r="W33" s="93">
        <v>8</v>
      </c>
      <c r="X33" s="93">
        <v>9</v>
      </c>
      <c r="Y33" s="93">
        <v>10</v>
      </c>
    </row>
    <row r="34" spans="1:25" x14ac:dyDescent="0.35">
      <c r="A34" s="66" t="s">
        <v>38</v>
      </c>
      <c r="B34" s="71">
        <f>+B14</f>
        <v>105212.84199999999</v>
      </c>
      <c r="C34" s="71">
        <f>+B34</f>
        <v>105212.84199999999</v>
      </c>
      <c r="D34" s="71">
        <f t="shared" ref="D34:K34" si="24">+C34</f>
        <v>105212.84199999999</v>
      </c>
      <c r="E34" s="71">
        <f t="shared" si="24"/>
        <v>105212.84199999999</v>
      </c>
      <c r="F34" s="71">
        <f t="shared" si="24"/>
        <v>105212.84199999999</v>
      </c>
      <c r="G34" s="71">
        <f t="shared" si="24"/>
        <v>105212.84199999999</v>
      </c>
      <c r="H34" s="71">
        <f t="shared" si="24"/>
        <v>105212.84199999999</v>
      </c>
      <c r="I34" s="71">
        <f t="shared" si="24"/>
        <v>105212.84199999999</v>
      </c>
      <c r="J34" s="71">
        <f t="shared" si="24"/>
        <v>105212.84199999999</v>
      </c>
      <c r="K34" s="71">
        <f t="shared" si="24"/>
        <v>105212.84199999999</v>
      </c>
      <c r="L34" s="71">
        <v>0</v>
      </c>
      <c r="N34" s="66" t="s">
        <v>38</v>
      </c>
      <c r="O34" s="71">
        <f>+O14</f>
        <v>102183.711</v>
      </c>
      <c r="P34" s="71">
        <f>+O34</f>
        <v>102183.711</v>
      </c>
      <c r="Q34" s="71">
        <f t="shared" ref="Q34:X34" si="25">+P34</f>
        <v>102183.711</v>
      </c>
      <c r="R34" s="71">
        <f t="shared" si="25"/>
        <v>102183.711</v>
      </c>
      <c r="S34" s="71">
        <f t="shared" si="25"/>
        <v>102183.711</v>
      </c>
      <c r="T34" s="71">
        <f t="shared" si="25"/>
        <v>102183.711</v>
      </c>
      <c r="U34" s="71">
        <f t="shared" si="25"/>
        <v>102183.711</v>
      </c>
      <c r="V34" s="71">
        <f t="shared" si="25"/>
        <v>102183.711</v>
      </c>
      <c r="W34" s="71">
        <f t="shared" si="25"/>
        <v>102183.711</v>
      </c>
      <c r="X34" s="71">
        <f t="shared" si="25"/>
        <v>102183.711</v>
      </c>
      <c r="Y34" s="71">
        <v>0</v>
      </c>
    </row>
    <row r="35" spans="1:25" x14ac:dyDescent="0.35">
      <c r="A35" s="66" t="s">
        <v>40</v>
      </c>
      <c r="B35" s="7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N35" s="66" t="s">
        <v>40</v>
      </c>
      <c r="O35" s="71"/>
      <c r="P35" s="111"/>
      <c r="Q35" s="111"/>
      <c r="R35" s="111"/>
      <c r="S35" s="111"/>
      <c r="T35" s="111"/>
      <c r="U35" s="111"/>
      <c r="V35" s="111"/>
      <c r="W35" s="111"/>
      <c r="X35" s="111"/>
      <c r="Y35" s="111"/>
    </row>
    <row r="36" spans="1:25" x14ac:dyDescent="0.35">
      <c r="A36" s="66" t="s">
        <v>19</v>
      </c>
      <c r="B36" s="71"/>
      <c r="C36" s="111">
        <f>+B34*B32</f>
        <v>6312.7705199999991</v>
      </c>
      <c r="D36" s="111">
        <f>+C36</f>
        <v>6312.7705199999991</v>
      </c>
      <c r="E36" s="111">
        <f t="shared" ref="E36:L36" si="26">+D36</f>
        <v>6312.7705199999991</v>
      </c>
      <c r="F36" s="111">
        <f t="shared" si="26"/>
        <v>6312.7705199999991</v>
      </c>
      <c r="G36" s="111">
        <f t="shared" si="26"/>
        <v>6312.7705199999991</v>
      </c>
      <c r="H36" s="111">
        <f t="shared" si="26"/>
        <v>6312.7705199999991</v>
      </c>
      <c r="I36" s="111">
        <f t="shared" si="26"/>
        <v>6312.7705199999991</v>
      </c>
      <c r="J36" s="111">
        <f t="shared" si="26"/>
        <v>6312.7705199999991</v>
      </c>
      <c r="K36" s="111">
        <f t="shared" si="26"/>
        <v>6312.7705199999991</v>
      </c>
      <c r="L36" s="111">
        <f t="shared" si="26"/>
        <v>6312.7705199999991</v>
      </c>
      <c r="N36" s="66" t="s">
        <v>19</v>
      </c>
      <c r="O36" s="71"/>
      <c r="P36" s="111">
        <f>+O34*O32</f>
        <v>6131.0226599999996</v>
      </c>
      <c r="Q36" s="111">
        <f>+P36</f>
        <v>6131.0226599999996</v>
      </c>
      <c r="R36" s="111">
        <f t="shared" ref="R36:Y36" si="27">+Q36</f>
        <v>6131.0226599999996</v>
      </c>
      <c r="S36" s="111">
        <f t="shared" si="27"/>
        <v>6131.0226599999996</v>
      </c>
      <c r="T36" s="111">
        <f t="shared" si="27"/>
        <v>6131.0226599999996</v>
      </c>
      <c r="U36" s="111">
        <f t="shared" si="27"/>
        <v>6131.0226599999996</v>
      </c>
      <c r="V36" s="111">
        <f t="shared" si="27"/>
        <v>6131.0226599999996</v>
      </c>
      <c r="W36" s="111">
        <f t="shared" si="27"/>
        <v>6131.0226599999996</v>
      </c>
      <c r="X36" s="111">
        <f t="shared" si="27"/>
        <v>6131.0226599999996</v>
      </c>
      <c r="Y36" s="111">
        <f t="shared" si="27"/>
        <v>6131.0226599999996</v>
      </c>
    </row>
    <row r="37" spans="1:25" x14ac:dyDescent="0.35">
      <c r="A37" s="66" t="s">
        <v>39</v>
      </c>
      <c r="B37" s="71"/>
      <c r="C37" s="71">
        <v>0</v>
      </c>
      <c r="D37" s="71">
        <v>0</v>
      </c>
      <c r="E37" s="71">
        <v>0</v>
      </c>
      <c r="F37" s="71">
        <v>0</v>
      </c>
      <c r="G37" s="71">
        <v>0</v>
      </c>
      <c r="H37" s="71">
        <v>0</v>
      </c>
      <c r="I37" s="71">
        <v>0</v>
      </c>
      <c r="J37" s="71">
        <v>0</v>
      </c>
      <c r="K37" s="71">
        <v>0</v>
      </c>
      <c r="L37" s="71">
        <f>+B34</f>
        <v>105212.84199999999</v>
      </c>
      <c r="N37" s="66" t="s">
        <v>39</v>
      </c>
      <c r="O37" s="71"/>
      <c r="P37" s="71">
        <v>0</v>
      </c>
      <c r="Q37" s="71">
        <v>0</v>
      </c>
      <c r="R37" s="71">
        <v>0</v>
      </c>
      <c r="S37" s="71">
        <v>0</v>
      </c>
      <c r="T37" s="71">
        <v>0</v>
      </c>
      <c r="U37" s="71">
        <v>0</v>
      </c>
      <c r="V37" s="71">
        <v>0</v>
      </c>
      <c r="W37" s="71">
        <v>0</v>
      </c>
      <c r="X37" s="71">
        <v>0</v>
      </c>
      <c r="Y37" s="71">
        <f>+O34</f>
        <v>102183.711</v>
      </c>
    </row>
    <row r="40" spans="1:25" x14ac:dyDescent="0.35">
      <c r="A40" s="108"/>
      <c r="B40" s="109"/>
    </row>
    <row r="41" spans="1:25" x14ac:dyDescent="0.35">
      <c r="A41" s="108"/>
      <c r="B41" s="73"/>
    </row>
  </sheetData>
  <mergeCells count="4">
    <mergeCell ref="A11:L11"/>
    <mergeCell ref="N11:Y11"/>
    <mergeCell ref="C25:L25"/>
    <mergeCell ref="P25:Y2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22"/>
  <sheetViews>
    <sheetView tabSelected="1" zoomScale="80" zoomScaleNormal="80" workbookViewId="0">
      <selection activeCell="C17" sqref="C17"/>
    </sheetView>
  </sheetViews>
  <sheetFormatPr baseColWidth="10" defaultRowHeight="14.5" x14ac:dyDescent="0.35"/>
  <cols>
    <col min="1" max="1" width="13" style="66" customWidth="1"/>
    <col min="2" max="16384" width="10.90625" style="66"/>
  </cols>
  <sheetData>
    <row r="2" spans="3:19" ht="15" thickBot="1" x14ac:dyDescent="0.4">
      <c r="C2" s="66" t="s">
        <v>181</v>
      </c>
      <c r="D2" s="73">
        <v>0.1</v>
      </c>
      <c r="N2" s="66" t="s">
        <v>182</v>
      </c>
    </row>
    <row r="3" spans="3:19" ht="15" thickBot="1" x14ac:dyDescent="0.4">
      <c r="C3" s="121" t="s">
        <v>183</v>
      </c>
      <c r="D3" s="122">
        <v>0</v>
      </c>
      <c r="E3" s="122">
        <v>1</v>
      </c>
      <c r="F3" s="122">
        <v>2</v>
      </c>
      <c r="G3" s="122">
        <v>3</v>
      </c>
      <c r="H3" s="122">
        <v>4</v>
      </c>
      <c r="I3" s="122">
        <v>5</v>
      </c>
      <c r="J3" s="122">
        <v>6</v>
      </c>
      <c r="K3" s="123"/>
      <c r="L3" s="121" t="s">
        <v>183</v>
      </c>
      <c r="M3" s="124">
        <v>0</v>
      </c>
      <c r="N3" s="124">
        <v>1</v>
      </c>
      <c r="O3" s="124">
        <v>2</v>
      </c>
      <c r="P3" s="124">
        <v>3</v>
      </c>
      <c r="Q3" s="124">
        <v>4</v>
      </c>
      <c r="R3" s="124">
        <v>5</v>
      </c>
      <c r="S3" s="122">
        <v>6</v>
      </c>
    </row>
    <row r="4" spans="3:19" ht="15" thickBot="1" x14ac:dyDescent="0.4">
      <c r="C4" s="125" t="s">
        <v>9</v>
      </c>
      <c r="D4" s="126">
        <v>-139.5</v>
      </c>
      <c r="E4" s="126">
        <v>50</v>
      </c>
      <c r="F4" s="126">
        <v>30</v>
      </c>
      <c r="G4" s="126">
        <v>40</v>
      </c>
      <c r="H4" s="126">
        <v>40</v>
      </c>
      <c r="I4" s="126">
        <v>30</v>
      </c>
      <c r="J4" s="127"/>
      <c r="K4" s="128"/>
      <c r="L4" s="129" t="s">
        <v>9</v>
      </c>
      <c r="M4" s="130">
        <v>0</v>
      </c>
      <c r="N4" s="131">
        <f>+F12</f>
        <v>1.7802910681233635</v>
      </c>
      <c r="O4" s="131">
        <f>+N4</f>
        <v>1.7802910681233635</v>
      </c>
      <c r="P4" s="131">
        <f t="shared" ref="P4:S6" si="0">+O4</f>
        <v>1.7802910681233635</v>
      </c>
      <c r="Q4" s="132">
        <f t="shared" si="0"/>
        <v>1.7802910681233635</v>
      </c>
      <c r="R4" s="132">
        <f t="shared" si="0"/>
        <v>1.7802910681233635</v>
      </c>
      <c r="S4" s="72"/>
    </row>
    <row r="5" spans="3:19" ht="15" thickBot="1" x14ac:dyDescent="0.4">
      <c r="C5" s="125" t="s">
        <v>184</v>
      </c>
      <c r="D5" s="126">
        <v>-139.5</v>
      </c>
      <c r="E5" s="126">
        <v>50</v>
      </c>
      <c r="F5" s="126">
        <v>70</v>
      </c>
      <c r="G5" s="126">
        <v>-20</v>
      </c>
      <c r="H5" s="126">
        <v>70</v>
      </c>
      <c r="I5" s="126">
        <v>-30</v>
      </c>
      <c r="J5" s="126">
        <v>51</v>
      </c>
      <c r="K5" s="123"/>
      <c r="L5" s="129" t="s">
        <v>184</v>
      </c>
      <c r="M5" s="133">
        <v>0</v>
      </c>
      <c r="N5" s="134">
        <f>+F13</f>
        <v>1.5500706360222978</v>
      </c>
      <c r="O5" s="134">
        <f>+N5</f>
        <v>1.5500706360222978</v>
      </c>
      <c r="P5" s="134">
        <f t="shared" si="0"/>
        <v>1.5500706360222978</v>
      </c>
      <c r="Q5" s="134">
        <f t="shared" si="0"/>
        <v>1.5500706360222978</v>
      </c>
      <c r="R5" s="134">
        <f t="shared" si="0"/>
        <v>1.5500706360222978</v>
      </c>
      <c r="S5" s="134">
        <f t="shared" si="0"/>
        <v>1.5500706360222978</v>
      </c>
    </row>
    <row r="6" spans="3:19" ht="15" thickBot="1" x14ac:dyDescent="0.4">
      <c r="C6" s="125" t="s">
        <v>185</v>
      </c>
      <c r="D6" s="135">
        <v>-139.5</v>
      </c>
      <c r="E6" s="135">
        <v>80</v>
      </c>
      <c r="F6" s="135">
        <v>60</v>
      </c>
      <c r="G6" s="135">
        <v>31.85</v>
      </c>
      <c r="H6" s="136"/>
      <c r="I6" s="136"/>
      <c r="J6" s="136"/>
      <c r="K6" s="137"/>
      <c r="L6" s="129" t="s">
        <v>185</v>
      </c>
      <c r="M6" s="138">
        <v>0</v>
      </c>
      <c r="N6" s="139">
        <f>+F14</f>
        <v>2.711631419939569</v>
      </c>
      <c r="O6" s="139">
        <f>+N6</f>
        <v>2.711631419939569</v>
      </c>
      <c r="P6" s="139">
        <f t="shared" si="0"/>
        <v>2.711631419939569</v>
      </c>
      <c r="Q6" s="140"/>
      <c r="R6" s="72"/>
      <c r="S6" s="72"/>
    </row>
    <row r="10" spans="3:19" ht="15" thickBot="1" x14ac:dyDescent="0.4"/>
    <row r="11" spans="3:19" ht="15" thickBot="1" x14ac:dyDescent="0.4">
      <c r="C11" s="141" t="s">
        <v>183</v>
      </c>
      <c r="D11" s="142" t="s">
        <v>42</v>
      </c>
      <c r="E11" s="142" t="s">
        <v>22</v>
      </c>
      <c r="F11" s="143" t="s">
        <v>52</v>
      </c>
    </row>
    <row r="12" spans="3:19" ht="15" thickBot="1" x14ac:dyDescent="0.4">
      <c r="C12" s="129" t="s">
        <v>9</v>
      </c>
      <c r="D12" s="144">
        <f>+NPV(D2,E4:I4)</f>
        <v>146.24870382673808</v>
      </c>
      <c r="E12" s="145">
        <f>+D12+D4</f>
        <v>6.7487038267380797</v>
      </c>
      <c r="F12" s="146">
        <f>-PMT($D$2,5,E12)</f>
        <v>1.7802910681233635</v>
      </c>
      <c r="H12" s="66">
        <f>+E12/(1.1)^3</f>
        <v>5.0704010719294343</v>
      </c>
    </row>
    <row r="13" spans="3:19" ht="15" thickBot="1" x14ac:dyDescent="0.4">
      <c r="C13" s="129" t="s">
        <v>184</v>
      </c>
      <c r="D13" s="147">
        <f>+NPV(D2,E5:J5)</f>
        <v>146.25096172245833</v>
      </c>
      <c r="E13" s="148">
        <f t="shared" ref="E13:E14" si="1">+D13+D5</f>
        <v>6.750961722458328</v>
      </c>
      <c r="F13" s="149">
        <f>-PMT($D$2,6,E13)</f>
        <v>1.5500706360222978</v>
      </c>
      <c r="H13" s="66">
        <f>+E13/(1.1)^8</f>
        <v>3.1493734670402223</v>
      </c>
    </row>
    <row r="14" spans="3:19" ht="15" thickBot="1" x14ac:dyDescent="0.4">
      <c r="C14" s="129" t="s">
        <v>185</v>
      </c>
      <c r="D14" s="150">
        <f>+NPV(D2,E6:G6)</f>
        <v>146.24342599549209</v>
      </c>
      <c r="E14" s="151">
        <f t="shared" si="1"/>
        <v>6.743425995492089</v>
      </c>
      <c r="F14" s="152">
        <f>-PMT($D$2,3,E14)</f>
        <v>2.711631419939569</v>
      </c>
      <c r="H14" s="153">
        <f>+E14</f>
        <v>6.743425995492089</v>
      </c>
    </row>
    <row r="16" spans="3:19" x14ac:dyDescent="0.35">
      <c r="C16" s="66" t="s">
        <v>187</v>
      </c>
    </row>
    <row r="18" spans="1:17" x14ac:dyDescent="0.35">
      <c r="A18" s="66" t="s">
        <v>186</v>
      </c>
      <c r="B18" s="154">
        <f>+NPV(D2,D18:Q18)</f>
        <v>14.963200534461748</v>
      </c>
      <c r="C18" s="155">
        <f>+M6</f>
        <v>0</v>
      </c>
      <c r="D18" s="155">
        <f t="shared" ref="D18:F18" si="2">+N6</f>
        <v>2.711631419939569</v>
      </c>
      <c r="E18" s="155">
        <f t="shared" si="2"/>
        <v>2.711631419939569</v>
      </c>
      <c r="F18" s="155">
        <f t="shared" si="2"/>
        <v>2.711631419939569</v>
      </c>
      <c r="G18" s="156">
        <f>+N4</f>
        <v>1.7802910681233635</v>
      </c>
      <c r="H18" s="156">
        <f t="shared" ref="H18:K18" si="3">+O4</f>
        <v>1.7802910681233635</v>
      </c>
      <c r="I18" s="156">
        <f t="shared" si="3"/>
        <v>1.7802910681233635</v>
      </c>
      <c r="J18" s="156">
        <f t="shared" si="3"/>
        <v>1.7802910681233635</v>
      </c>
      <c r="K18" s="156">
        <f t="shared" si="3"/>
        <v>1.7802910681233635</v>
      </c>
      <c r="L18" s="134">
        <f t="shared" ref="L18" si="4">+S5</f>
        <v>1.5500706360222978</v>
      </c>
      <c r="M18" s="134">
        <f>+L18</f>
        <v>1.5500706360222978</v>
      </c>
      <c r="N18" s="134">
        <f t="shared" ref="N18:Q18" si="5">+M18</f>
        <v>1.5500706360222978</v>
      </c>
      <c r="O18" s="134">
        <f t="shared" si="5"/>
        <v>1.5500706360222978</v>
      </c>
      <c r="P18" s="134">
        <f t="shared" si="5"/>
        <v>1.5500706360222978</v>
      </c>
      <c r="Q18" s="134">
        <f t="shared" si="5"/>
        <v>1.5500706360222978</v>
      </c>
    </row>
    <row r="19" spans="1:17" x14ac:dyDescent="0.35">
      <c r="A19" s="66" t="s">
        <v>185</v>
      </c>
      <c r="C19" s="157">
        <v>-139.5</v>
      </c>
      <c r="D19" s="157">
        <v>80</v>
      </c>
      <c r="E19" s="157">
        <v>60</v>
      </c>
      <c r="F19" s="157">
        <v>31.85</v>
      </c>
    </row>
    <row r="20" spans="1:17" x14ac:dyDescent="0.35">
      <c r="A20" s="66" t="s">
        <v>9</v>
      </c>
      <c r="F20" s="158">
        <v>-139.5</v>
      </c>
      <c r="G20" s="159">
        <v>50</v>
      </c>
      <c r="H20" s="159">
        <v>30</v>
      </c>
      <c r="I20" s="159">
        <v>40</v>
      </c>
      <c r="J20" s="159">
        <v>40</v>
      </c>
      <c r="K20" s="160">
        <v>30</v>
      </c>
    </row>
    <row r="21" spans="1:17" x14ac:dyDescent="0.35">
      <c r="A21" s="66" t="s">
        <v>184</v>
      </c>
      <c r="K21" s="159">
        <v>-139.5</v>
      </c>
      <c r="L21" s="159">
        <v>50</v>
      </c>
      <c r="M21" s="159">
        <v>70</v>
      </c>
      <c r="N21" s="159">
        <v>-20</v>
      </c>
      <c r="O21" s="159">
        <v>70</v>
      </c>
      <c r="P21" s="159">
        <v>-30</v>
      </c>
      <c r="Q21" s="159">
        <v>51</v>
      </c>
    </row>
    <row r="22" spans="1:17" x14ac:dyDescent="0.35">
      <c r="F22" s="16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Selecc_cond</vt:lpstr>
      <vt:lpstr>Nuevo o usado</vt:lpstr>
      <vt:lpstr>Eolico</vt:lpstr>
      <vt:lpstr>Vidas_dife</vt:lpstr>
      <vt:lpstr>Tele_rural</vt:lpstr>
      <vt:lpstr>Secuencia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jsalvador</dc:creator>
  <cp:lastModifiedBy>Julio Salvador Jacome</cp:lastModifiedBy>
  <cp:lastPrinted>2010-12-01T00:39:27Z</cp:lastPrinted>
  <dcterms:created xsi:type="dcterms:W3CDTF">2001-11-15T17:01:42Z</dcterms:created>
  <dcterms:modified xsi:type="dcterms:W3CDTF">2021-07-23T12:42:16Z</dcterms:modified>
</cp:coreProperties>
</file>