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ersonal\Docencia\UNI\2023_II\BEG06M\PC3\"/>
    </mc:Choice>
  </mc:AlternateContent>
  <xr:revisionPtr revIDLastSave="0" documentId="13_ncr:1_{3AF3B9B0-3D53-4175-8E17-71322FCCB3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_II M" sheetId="3" r:id="rId1"/>
    <sheet name="Hoja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4" l="1"/>
  <c r="H53" i="4"/>
  <c r="P36" i="4"/>
  <c r="P35" i="4"/>
  <c r="P34" i="4"/>
  <c r="P37" i="4" s="1"/>
  <c r="Q34" i="4" s="1"/>
  <c r="C43" i="4" s="1"/>
  <c r="K36" i="4"/>
  <c r="K35" i="4"/>
  <c r="K34" i="4"/>
  <c r="F35" i="4"/>
  <c r="F36" i="4"/>
  <c r="F34" i="4"/>
  <c r="F37" i="4" s="1"/>
  <c r="G35" i="4" s="1"/>
  <c r="D41" i="4" s="1"/>
  <c r="F26" i="4"/>
  <c r="F27" i="4"/>
  <c r="F25" i="4"/>
  <c r="G10" i="4"/>
  <c r="I10" i="4" s="1"/>
  <c r="G11" i="4"/>
  <c r="I11" i="4" s="1"/>
  <c r="G9" i="4"/>
  <c r="I9" i="4" s="1"/>
  <c r="J141" i="3"/>
  <c r="J142" i="3" s="1"/>
  <c r="K37" i="4" l="1"/>
  <c r="L35" i="4" s="1"/>
  <c r="D42" i="4" s="1"/>
  <c r="G36" i="4"/>
  <c r="E41" i="4" s="1"/>
  <c r="Q35" i="4"/>
  <c r="D43" i="4" s="1"/>
  <c r="Q36" i="4"/>
  <c r="E43" i="4" s="1"/>
  <c r="L34" i="4"/>
  <c r="C42" i="4" s="1"/>
  <c r="G34" i="4"/>
  <c r="C41" i="4" s="1"/>
  <c r="L36" i="4"/>
  <c r="E42" i="4" s="1"/>
  <c r="F28" i="4"/>
  <c r="G26" i="4" s="1"/>
  <c r="F42" i="4" s="1"/>
  <c r="J107" i="3"/>
  <c r="D110" i="3"/>
  <c r="D109" i="3"/>
  <c r="E109" i="3" s="1"/>
  <c r="D88" i="3"/>
  <c r="W91" i="3"/>
  <c r="C116" i="3"/>
  <c r="D115" i="3"/>
  <c r="E115" i="3" s="1"/>
  <c r="F115" i="3" s="1"/>
  <c r="G115" i="3" s="1"/>
  <c r="H115" i="3" s="1"/>
  <c r="I115" i="3" s="1"/>
  <c r="J115" i="3" s="1"/>
  <c r="K115" i="3" s="1"/>
  <c r="L115" i="3" s="1"/>
  <c r="M115" i="3" s="1"/>
  <c r="Q112" i="3"/>
  <c r="P112" i="3"/>
  <c r="O112" i="3"/>
  <c r="N112" i="3"/>
  <c r="M112" i="3"/>
  <c r="L112" i="3"/>
  <c r="K112" i="3"/>
  <c r="J112" i="3"/>
  <c r="F107" i="3"/>
  <c r="C95" i="3"/>
  <c r="D94" i="3"/>
  <c r="E94" i="3" s="1"/>
  <c r="F94" i="3" s="1"/>
  <c r="G94" i="3" s="1"/>
  <c r="H94" i="3" s="1"/>
  <c r="I94" i="3" s="1"/>
  <c r="J94" i="3" s="1"/>
  <c r="K94" i="3" s="1"/>
  <c r="L94" i="3" s="1"/>
  <c r="M94" i="3" s="1"/>
  <c r="Q91" i="3"/>
  <c r="P91" i="3"/>
  <c r="O91" i="3"/>
  <c r="N91" i="3"/>
  <c r="M91" i="3"/>
  <c r="L91" i="3"/>
  <c r="K91" i="3"/>
  <c r="J91" i="3"/>
  <c r="D89" i="3"/>
  <c r="E89" i="3" s="1"/>
  <c r="F89" i="3" s="1"/>
  <c r="G89" i="3" s="1"/>
  <c r="H89" i="3" s="1"/>
  <c r="I89" i="3" s="1"/>
  <c r="J89" i="3" s="1"/>
  <c r="K89" i="3" s="1"/>
  <c r="L89" i="3" s="1"/>
  <c r="M89" i="3" s="1"/>
  <c r="N89" i="3" s="1"/>
  <c r="O89" i="3" s="1"/>
  <c r="P89" i="3" s="1"/>
  <c r="Q89" i="3" s="1"/>
  <c r="R89" i="3" s="1"/>
  <c r="S89" i="3" s="1"/>
  <c r="F86" i="3"/>
  <c r="G25" i="4" l="1"/>
  <c r="F41" i="4" s="1"/>
  <c r="G27" i="4"/>
  <c r="F43" i="4" s="1"/>
  <c r="D48" i="4" s="1"/>
  <c r="D47" i="4"/>
  <c r="D46" i="4"/>
  <c r="D92" i="3"/>
  <c r="D93" i="3" s="1"/>
  <c r="D113" i="3"/>
  <c r="D114" i="3" s="1"/>
  <c r="E88" i="3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P88" i="3" s="1"/>
  <c r="Q88" i="3" s="1"/>
  <c r="R88" i="3" s="1"/>
  <c r="S88" i="3" s="1"/>
  <c r="S92" i="3" s="1"/>
  <c r="S93" i="3" s="1"/>
  <c r="E110" i="3"/>
  <c r="F110" i="3" s="1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R110" i="3" s="1"/>
  <c r="S110" i="3" s="1"/>
  <c r="E113" i="3"/>
  <c r="E114" i="3" s="1"/>
  <c r="F109" i="3"/>
  <c r="G109" i="3" s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R109" i="3" s="1"/>
  <c r="S109" i="3" s="1"/>
  <c r="S113" i="3" s="1"/>
  <c r="D95" i="3"/>
  <c r="C118" i="3"/>
  <c r="C119" i="3" s="1"/>
  <c r="C96" i="3"/>
  <c r="C97" i="3" s="1"/>
  <c r="C98" i="3" s="1"/>
  <c r="C117" i="3"/>
  <c r="E92" i="3" l="1"/>
  <c r="E93" i="3" s="1"/>
  <c r="S114" i="3"/>
  <c r="S116" i="3" s="1"/>
  <c r="S117" i="3" s="1"/>
  <c r="S118" i="3" s="1"/>
  <c r="S119" i="3" s="1"/>
  <c r="S95" i="3"/>
  <c r="S96" i="3" s="1"/>
  <c r="S97" i="3" s="1"/>
  <c r="S98" i="3" s="1"/>
  <c r="F113" i="3"/>
  <c r="F114" i="3" s="1"/>
  <c r="G113" i="3"/>
  <c r="G114" i="3" s="1"/>
  <c r="F92" i="3"/>
  <c r="F93" i="3" s="1"/>
  <c r="D96" i="3"/>
  <c r="D97" i="3" s="1"/>
  <c r="D98" i="3" s="1"/>
  <c r="E116" i="3"/>
  <c r="D116" i="3"/>
  <c r="E95" i="3" l="1"/>
  <c r="E96" i="3" s="1"/>
  <c r="E97" i="3" s="1"/>
  <c r="E98" i="3" s="1"/>
  <c r="F95" i="3"/>
  <c r="F96" i="3" s="1"/>
  <c r="F97" i="3" s="1"/>
  <c r="F98" i="3" s="1"/>
  <c r="H113" i="3"/>
  <c r="H114" i="3" s="1"/>
  <c r="G92" i="3"/>
  <c r="G93" i="3" s="1"/>
  <c r="D117" i="3"/>
  <c r="D118" i="3" s="1"/>
  <c r="D119" i="3" s="1"/>
  <c r="E117" i="3"/>
  <c r="E118" i="3" s="1"/>
  <c r="E119" i="3" s="1"/>
  <c r="G116" i="3"/>
  <c r="F116" i="3"/>
  <c r="G95" i="3" l="1"/>
  <c r="G96" i="3" s="1"/>
  <c r="G97" i="3" s="1"/>
  <c r="G98" i="3" s="1"/>
  <c r="I113" i="3"/>
  <c r="I114" i="3" s="1"/>
  <c r="H92" i="3"/>
  <c r="H93" i="3" s="1"/>
  <c r="F117" i="3"/>
  <c r="F118" i="3" s="1"/>
  <c r="F119" i="3" s="1"/>
  <c r="H116" i="3"/>
  <c r="J113" i="3"/>
  <c r="J114" i="3" s="1"/>
  <c r="G117" i="3"/>
  <c r="G118" i="3" s="1"/>
  <c r="G119" i="3" s="1"/>
  <c r="H95" i="3" l="1"/>
  <c r="H96" i="3" s="1"/>
  <c r="H97" i="3" s="1"/>
  <c r="H98" i="3" s="1"/>
  <c r="I92" i="3"/>
  <c r="I93" i="3" s="1"/>
  <c r="H117" i="3"/>
  <c r="H118" i="3" s="1"/>
  <c r="H119" i="3" s="1"/>
  <c r="K113" i="3"/>
  <c r="K114" i="3" s="1"/>
  <c r="I116" i="3"/>
  <c r="I95" i="3" l="1"/>
  <c r="I96" i="3" s="1"/>
  <c r="I97" i="3" s="1"/>
  <c r="I98" i="3" s="1"/>
  <c r="J92" i="3"/>
  <c r="J93" i="3" s="1"/>
  <c r="I117" i="3"/>
  <c r="I118" i="3" s="1"/>
  <c r="I119" i="3" s="1"/>
  <c r="L113" i="3"/>
  <c r="L114" i="3" s="1"/>
  <c r="J116" i="3"/>
  <c r="J95" i="3" l="1"/>
  <c r="J96" i="3" s="1"/>
  <c r="J97" i="3" s="1"/>
  <c r="J98" i="3" s="1"/>
  <c r="K92" i="3"/>
  <c r="K93" i="3" s="1"/>
  <c r="J117" i="3"/>
  <c r="J118" i="3" s="1"/>
  <c r="J119" i="3" s="1"/>
  <c r="K116" i="3"/>
  <c r="M113" i="3"/>
  <c r="M114" i="3" s="1"/>
  <c r="K95" i="3" l="1"/>
  <c r="K96" i="3" s="1"/>
  <c r="K97" i="3" s="1"/>
  <c r="K98" i="3" s="1"/>
  <c r="L92" i="3"/>
  <c r="L93" i="3" s="1"/>
  <c r="K117" i="3"/>
  <c r="K118" i="3" s="1"/>
  <c r="K119" i="3" s="1"/>
  <c r="N113" i="3"/>
  <c r="N114" i="3" s="1"/>
  <c r="L116" i="3"/>
  <c r="L95" i="3" l="1"/>
  <c r="L96" i="3" s="1"/>
  <c r="L97" i="3" s="1"/>
  <c r="L98" i="3" s="1"/>
  <c r="M92" i="3"/>
  <c r="M93" i="3" s="1"/>
  <c r="M116" i="3"/>
  <c r="L117" i="3"/>
  <c r="L118" i="3" s="1"/>
  <c r="L119" i="3" s="1"/>
  <c r="O113" i="3"/>
  <c r="O114" i="3" s="1"/>
  <c r="M95" i="3" l="1"/>
  <c r="M96" i="3" s="1"/>
  <c r="M97" i="3" s="1"/>
  <c r="M98" i="3" s="1"/>
  <c r="N92" i="3"/>
  <c r="N93" i="3" s="1"/>
  <c r="M117" i="3"/>
  <c r="M118" i="3" s="1"/>
  <c r="M119" i="3" s="1"/>
  <c r="N116" i="3"/>
  <c r="P113" i="3"/>
  <c r="P114" i="3" s="1"/>
  <c r="N95" i="3" l="1"/>
  <c r="N96" i="3" s="1"/>
  <c r="N97" i="3" s="1"/>
  <c r="N98" i="3" s="1"/>
  <c r="O92" i="3"/>
  <c r="O93" i="3" s="1"/>
  <c r="N117" i="3"/>
  <c r="N118" i="3" s="1"/>
  <c r="N119" i="3" s="1"/>
  <c r="O116" i="3"/>
  <c r="Q113" i="3"/>
  <c r="Q114" i="3" s="1"/>
  <c r="O95" i="3" l="1"/>
  <c r="O96" i="3" s="1"/>
  <c r="O97" i="3" s="1"/>
  <c r="O98" i="3" s="1"/>
  <c r="P92" i="3"/>
  <c r="P93" i="3" s="1"/>
  <c r="P116" i="3"/>
  <c r="R113" i="3"/>
  <c r="R114" i="3" s="1"/>
  <c r="O117" i="3"/>
  <c r="O118" i="3" s="1"/>
  <c r="O119" i="3" s="1"/>
  <c r="P95" i="3" l="1"/>
  <c r="P96" i="3" s="1"/>
  <c r="P97" i="3" s="1"/>
  <c r="P98" i="3" s="1"/>
  <c r="Q92" i="3"/>
  <c r="Q93" i="3" s="1"/>
  <c r="R92" i="3"/>
  <c r="R93" i="3" s="1"/>
  <c r="P117" i="3"/>
  <c r="P118" i="3" s="1"/>
  <c r="P119" i="3" s="1"/>
  <c r="Q116" i="3"/>
  <c r="R116" i="3"/>
  <c r="R95" i="3" l="1"/>
  <c r="R96" i="3" s="1"/>
  <c r="R97" i="3" s="1"/>
  <c r="R98" i="3" s="1"/>
  <c r="C100" i="3" s="1"/>
  <c r="Q95" i="3"/>
  <c r="Q96" i="3" s="1"/>
  <c r="Q97" i="3" s="1"/>
  <c r="Q98" i="3" s="1"/>
  <c r="R117" i="3"/>
  <c r="R118" i="3" s="1"/>
  <c r="R119" i="3" s="1"/>
  <c r="Q117" i="3"/>
  <c r="Q118" i="3" s="1"/>
  <c r="Q119" i="3" s="1"/>
  <c r="C121" i="3" l="1"/>
  <c r="C122" i="3" s="1"/>
  <c r="C123" i="3" s="1"/>
  <c r="C101" i="3"/>
  <c r="C102" i="3" s="1"/>
  <c r="D74" i="3" l="1"/>
  <c r="I59" i="3"/>
  <c r="J59" i="3" s="1"/>
  <c r="K59" i="3" s="1"/>
  <c r="L59" i="3" s="1"/>
  <c r="M59" i="3" s="1"/>
  <c r="N59" i="3" s="1"/>
  <c r="O59" i="3" s="1"/>
  <c r="L58" i="3"/>
  <c r="M58" i="3"/>
  <c r="N58" i="3"/>
  <c r="C40" i="3"/>
  <c r="B40" i="3"/>
  <c r="N31" i="3"/>
  <c r="D38" i="3" s="1"/>
  <c r="N32" i="3"/>
  <c r="E38" i="3" s="1"/>
  <c r="N30" i="3"/>
  <c r="C38" i="3" s="1"/>
  <c r="J31" i="3"/>
  <c r="D37" i="3" s="1"/>
  <c r="J32" i="3"/>
  <c r="E37" i="3" s="1"/>
  <c r="J30" i="3"/>
  <c r="C37" i="3" s="1"/>
  <c r="F31" i="3"/>
  <c r="D36" i="3" s="1"/>
  <c r="F32" i="3"/>
  <c r="F30" i="3"/>
  <c r="C36" i="3" s="1"/>
  <c r="G23" i="3"/>
  <c r="G24" i="3"/>
  <c r="G22" i="3"/>
  <c r="G16" i="3"/>
  <c r="H16" i="3" s="1"/>
  <c r="G17" i="3"/>
  <c r="H17" i="3" s="1"/>
  <c r="G15" i="3"/>
  <c r="H15" i="3" s="1"/>
  <c r="O132" i="3"/>
  <c r="O131" i="3"/>
  <c r="O130" i="3"/>
  <c r="O133" i="3" l="1"/>
  <c r="D40" i="3"/>
  <c r="E36" i="3"/>
  <c r="G25" i="3"/>
  <c r="H24" i="3" s="1"/>
  <c r="F38" i="3" s="1"/>
  <c r="H18" i="3"/>
  <c r="I16" i="3" s="1"/>
  <c r="E60" i="3"/>
  <c r="N54" i="3"/>
  <c r="F60" i="3" l="1"/>
  <c r="E74" i="3"/>
  <c r="H50" i="3"/>
  <c r="C72" i="3" s="1"/>
  <c r="H49" i="3"/>
  <c r="H48" i="3"/>
  <c r="H23" i="3"/>
  <c r="F37" i="3" s="1"/>
  <c r="I17" i="3"/>
  <c r="I15" i="3"/>
  <c r="H22" i="3"/>
  <c r="F36" i="3" s="1"/>
  <c r="G60" i="3" l="1"/>
  <c r="F74" i="3"/>
  <c r="P72" i="3"/>
  <c r="I49" i="3"/>
  <c r="C71" i="3"/>
  <c r="J48" i="3"/>
  <c r="C58" i="3"/>
  <c r="J50" i="3"/>
  <c r="I50" i="3"/>
  <c r="I37" i="3"/>
  <c r="C44" i="3" s="1"/>
  <c r="I36" i="3"/>
  <c r="C43" i="3" s="1"/>
  <c r="I38" i="3"/>
  <c r="C45" i="3" s="1"/>
  <c r="D147" i="3"/>
  <c r="P145" i="3"/>
  <c r="G140" i="3"/>
  <c r="P134" i="3"/>
  <c r="N139" i="3" s="1"/>
  <c r="C62" i="3"/>
  <c r="C63" i="3" s="1"/>
  <c r="K58" i="3"/>
  <c r="J58" i="3"/>
  <c r="H60" i="3" l="1"/>
  <c r="G74" i="3"/>
  <c r="O58" i="3"/>
  <c r="P71" i="3"/>
  <c r="D72" i="3"/>
  <c r="E72" i="3"/>
  <c r="F72" i="3" s="1"/>
  <c r="G72" i="3" s="1"/>
  <c r="H72" i="3" s="1"/>
  <c r="I72" i="3" s="1"/>
  <c r="J72" i="3" s="1"/>
  <c r="K72" i="3" s="1"/>
  <c r="E141" i="3"/>
  <c r="E142" i="3" s="1"/>
  <c r="Q138" i="3"/>
  <c r="N147" i="3"/>
  <c r="C64" i="3"/>
  <c r="C65" i="3" s="1"/>
  <c r="E143" i="3" l="1"/>
  <c r="N148" i="3"/>
  <c r="R149" i="3" s="1"/>
  <c r="I60" i="3"/>
  <c r="H74" i="3"/>
  <c r="N71" i="3"/>
  <c r="O71" i="3"/>
  <c r="M71" i="3"/>
  <c r="K71" i="3"/>
  <c r="K61" i="3" s="1"/>
  <c r="L71" i="3"/>
  <c r="L72" i="3"/>
  <c r="G71" i="3"/>
  <c r="G61" i="3" s="1"/>
  <c r="G62" i="3" s="1"/>
  <c r="G63" i="3" s="1"/>
  <c r="G64" i="3" s="1"/>
  <c r="G65" i="3" s="1"/>
  <c r="D71" i="3"/>
  <c r="H71" i="3"/>
  <c r="H61" i="3" s="1"/>
  <c r="H62" i="3" s="1"/>
  <c r="H63" i="3" s="1"/>
  <c r="H64" i="3" s="1"/>
  <c r="H65" i="3" s="1"/>
  <c r="I71" i="3"/>
  <c r="I61" i="3" s="1"/>
  <c r="J71" i="3"/>
  <c r="J61" i="3" s="1"/>
  <c r="F71" i="3"/>
  <c r="F61" i="3" s="1"/>
  <c r="F62" i="3" s="1"/>
  <c r="F63" i="3" s="1"/>
  <c r="F64" i="3" s="1"/>
  <c r="F65" i="3" s="1"/>
  <c r="E71" i="3"/>
  <c r="E61" i="3" s="1"/>
  <c r="E62" i="3" s="1"/>
  <c r="E63" i="3" s="1"/>
  <c r="N140" i="3"/>
  <c r="F141" i="3" s="1"/>
  <c r="F142" i="3" s="1"/>
  <c r="P139" i="3"/>
  <c r="E138" i="3"/>
  <c r="E144" i="3"/>
  <c r="E145" i="3" s="1"/>
  <c r="E146" i="3" s="1"/>
  <c r="P149" i="3" l="1"/>
  <c r="I62" i="3"/>
  <c r="I63" i="3" s="1"/>
  <c r="I64" i="3" s="1"/>
  <c r="I65" i="3" s="1"/>
  <c r="J60" i="3"/>
  <c r="I74" i="3"/>
  <c r="E64" i="3"/>
  <c r="E65" i="3" s="1"/>
  <c r="D61" i="3"/>
  <c r="D62" i="3" s="1"/>
  <c r="Q71" i="3"/>
  <c r="M72" i="3"/>
  <c r="L61" i="3"/>
  <c r="N141" i="3"/>
  <c r="N142" i="3" s="1"/>
  <c r="N143" i="3" s="1"/>
  <c r="P140" i="3"/>
  <c r="Q140" i="3" s="1"/>
  <c r="Q139" i="3"/>
  <c r="E147" i="3"/>
  <c r="F143" i="3"/>
  <c r="F144" i="3" s="1"/>
  <c r="R150" i="3" l="1"/>
  <c r="R151" i="3" s="1"/>
  <c r="R152" i="3" s="1"/>
  <c r="R153" i="3" s="1"/>
  <c r="Q149" i="3"/>
  <c r="N149" i="3" s="1"/>
  <c r="P150" i="3" s="1"/>
  <c r="Q150" i="3" s="1"/>
  <c r="N150" i="3" s="1"/>
  <c r="P151" i="3" s="1"/>
  <c r="Q151" i="3" s="1"/>
  <c r="N151" i="3" s="1"/>
  <c r="P152" i="3" s="1"/>
  <c r="Q152" i="3" s="1"/>
  <c r="I138" i="3" s="1"/>
  <c r="K60" i="3"/>
  <c r="J74" i="3"/>
  <c r="J62" i="3"/>
  <c r="J63" i="3" s="1"/>
  <c r="J64" i="3" s="1"/>
  <c r="J65" i="3" s="1"/>
  <c r="N72" i="3"/>
  <c r="M61" i="3"/>
  <c r="D63" i="3"/>
  <c r="D64" i="3" s="1"/>
  <c r="D65" i="3" s="1"/>
  <c r="G141" i="3"/>
  <c r="G142" i="3" s="1"/>
  <c r="P141" i="3"/>
  <c r="Q141" i="3" s="1"/>
  <c r="I141" i="3"/>
  <c r="F145" i="3"/>
  <c r="F146" i="3" s="1"/>
  <c r="H141" i="3"/>
  <c r="H142" i="3" s="1"/>
  <c r="N152" i="3" l="1"/>
  <c r="P153" i="3" s="1"/>
  <c r="J143" i="3" s="1"/>
  <c r="J144" i="3" s="1"/>
  <c r="J145" i="3" s="1"/>
  <c r="J146" i="3" s="1"/>
  <c r="F138" i="3"/>
  <c r="P142" i="3"/>
  <c r="P143" i="3" s="1"/>
  <c r="Q143" i="3" s="1"/>
  <c r="L60" i="3"/>
  <c r="K74" i="3"/>
  <c r="K62" i="3"/>
  <c r="K63" i="3" s="1"/>
  <c r="K64" i="3" s="1"/>
  <c r="K65" i="3" s="1"/>
  <c r="O72" i="3"/>
  <c r="N61" i="3"/>
  <c r="I142" i="3"/>
  <c r="F147" i="3"/>
  <c r="Q153" i="3" l="1"/>
  <c r="Q142" i="3"/>
  <c r="M60" i="3"/>
  <c r="L74" i="3"/>
  <c r="L62" i="3"/>
  <c r="L63" i="3" s="1"/>
  <c r="L64" i="3" s="1"/>
  <c r="L65" i="3" s="1"/>
  <c r="O61" i="3"/>
  <c r="Q72" i="3"/>
  <c r="G143" i="3"/>
  <c r="G144" i="3" s="1"/>
  <c r="N153" i="3" l="1"/>
  <c r="J138" i="3"/>
  <c r="J147" i="3" s="1"/>
  <c r="N60" i="3"/>
  <c r="M74" i="3"/>
  <c r="M62" i="3"/>
  <c r="M63" i="3" s="1"/>
  <c r="M64" i="3" s="1"/>
  <c r="M65" i="3" s="1"/>
  <c r="G138" i="3"/>
  <c r="G145" i="3"/>
  <c r="G146" i="3" s="1"/>
  <c r="O60" i="3" l="1"/>
  <c r="N74" i="3"/>
  <c r="N62" i="3"/>
  <c r="N63" i="3" s="1"/>
  <c r="N64" i="3" s="1"/>
  <c r="N65" i="3" s="1"/>
  <c r="G147" i="3"/>
  <c r="O74" i="3" l="1"/>
  <c r="O62" i="3"/>
  <c r="O63" i="3" s="1"/>
  <c r="O64" i="3" s="1"/>
  <c r="O65" i="3" s="1"/>
  <c r="C66" i="3" s="1"/>
  <c r="C67" i="3" s="1"/>
  <c r="H143" i="3"/>
  <c r="H144" i="3" s="1"/>
  <c r="H145" i="3" l="1"/>
  <c r="H146" i="3" s="1"/>
  <c r="H138" i="3"/>
  <c r="I143" i="3" l="1"/>
  <c r="I144" i="3" s="1"/>
  <c r="I145" i="3" s="1"/>
  <c r="I146" i="3" s="1"/>
  <c r="H147" i="3"/>
  <c r="I147" i="3" l="1"/>
  <c r="D149" i="3" s="1"/>
  <c r="D150" i="3" s="1"/>
  <c r="D53" i="4"/>
  <c r="F46" i="4"/>
  <c r="C15" i="4"/>
  <c r="C18" i="4"/>
  <c r="D55" i="4"/>
  <c r="C17" i="4"/>
  <c r="F48" i="4"/>
  <c r="I12" i="4"/>
  <c r="C16" i="4"/>
  <c r="F47" i="4"/>
  <c r="D54" i="4"/>
</calcChain>
</file>

<file path=xl/sharedStrings.xml><?xml version="1.0" encoding="utf-8"?>
<sst xmlns="http://schemas.openxmlformats.org/spreadsheetml/2006/main" count="238" uniqueCount="126">
  <si>
    <t>Vaf</t>
  </si>
  <si>
    <t>UN</t>
  </si>
  <si>
    <t>Capital</t>
  </si>
  <si>
    <t>n</t>
  </si>
  <si>
    <t>I</t>
  </si>
  <si>
    <t>i</t>
  </si>
  <si>
    <t xml:space="preserve">UAI </t>
  </si>
  <si>
    <t>UAII</t>
  </si>
  <si>
    <t>Egresos</t>
  </si>
  <si>
    <t>Ingresos</t>
  </si>
  <si>
    <t>Prestamo</t>
  </si>
  <si>
    <t>Inversion</t>
  </si>
  <si>
    <t>V</t>
  </si>
  <si>
    <t>D</t>
  </si>
  <si>
    <t>d</t>
  </si>
  <si>
    <t>ke</t>
  </si>
  <si>
    <t>Flujo fondos</t>
  </si>
  <si>
    <t>Neto</t>
  </si>
  <si>
    <t>Cuota</t>
  </si>
  <si>
    <t>amortiz</t>
  </si>
  <si>
    <t>interes</t>
  </si>
  <si>
    <t>Imp (30%)</t>
  </si>
  <si>
    <t>dep</t>
  </si>
  <si>
    <t>p</t>
  </si>
  <si>
    <t>P</t>
  </si>
  <si>
    <t>P4</t>
  </si>
  <si>
    <t>I-Vaf</t>
  </si>
  <si>
    <t>UAI</t>
  </si>
  <si>
    <t>rp</t>
  </si>
  <si>
    <t>beta</t>
  </si>
  <si>
    <t>km</t>
  </si>
  <si>
    <t xml:space="preserve">kf  </t>
  </si>
  <si>
    <t>P3</t>
  </si>
  <si>
    <t>Infraestructura</t>
  </si>
  <si>
    <t>P2</t>
  </si>
  <si>
    <t>m</t>
  </si>
  <si>
    <t>conoce que los ingresos y egresos son:</t>
  </si>
  <si>
    <t xml:space="preserve">Dispone de la información de un proyecto cuya inversión es 1240  </t>
  </si>
  <si>
    <t>El proyecto tiene comprometido un préstamo de 800 a una tasa de interés del 7% en cinco años</t>
  </si>
  <si>
    <t>Calcule Vaf con año de gracia - Vaf sin año de gracia</t>
  </si>
  <si>
    <t>Vaf1</t>
  </si>
  <si>
    <t>Con la opcion de un año de gracia</t>
  </si>
  <si>
    <t>VAN</t>
  </si>
  <si>
    <t>Lugar</t>
  </si>
  <si>
    <t>Mano de obra</t>
  </si>
  <si>
    <t>Materia prima</t>
  </si>
  <si>
    <t>Transporte</t>
  </si>
  <si>
    <t>Otros</t>
  </si>
  <si>
    <t>A</t>
  </si>
  <si>
    <t>B</t>
  </si>
  <si>
    <t>C</t>
  </si>
  <si>
    <t>a. Que los costos en cada uno de ellos, según su ubicación, son</t>
  </si>
  <si>
    <t xml:space="preserve">b. Asimismo, se sabe que por el tipo de producción que se prevé, se debe priorizar las condiciones clima a las de habitabilidad o el nivel </t>
  </si>
  <si>
    <t>educativo en la zona,en el mismo sentido que tienen igual prioridad el nivel educativo en la zona que las condiciones de habitabilidad.</t>
  </si>
  <si>
    <t xml:space="preserve">De las evaluaciones previas, se considera que el clima en A es tan bueno como el de B, que el clima de A es mejor que en C y que el clima en B es mejor que en C. </t>
  </si>
  <si>
    <t xml:space="preserve">Con relación a las condiciones de habitabilidad hay mejores condiciones en B que en A, mejores condiciones en C que en A </t>
  </si>
  <si>
    <t xml:space="preserve">y que hay iguales condiciones en B y C. Finalmente, el nivel educativo en la ubicación B es mejor que en A, el nivel educativo en C </t>
  </si>
  <si>
    <t>es mejor que en A y también en B.</t>
  </si>
  <si>
    <t>c. Considerando que los factores evaluados en el literal a (objetivos). tienen el doble del peso que los factores en el literal b(subjetivos).</t>
  </si>
  <si>
    <t>Mat. Prima</t>
  </si>
  <si>
    <t>1/C</t>
  </si>
  <si>
    <t>FO</t>
  </si>
  <si>
    <t>Parte a</t>
  </si>
  <si>
    <t>Parte b</t>
  </si>
  <si>
    <t>Factor</t>
  </si>
  <si>
    <t>Comparaciones pareadas</t>
  </si>
  <si>
    <t>Clima</t>
  </si>
  <si>
    <t>Habitabilidad</t>
  </si>
  <si>
    <t>Neducativo</t>
  </si>
  <si>
    <t>suma pref</t>
  </si>
  <si>
    <t>W</t>
  </si>
  <si>
    <t>Se ha solicitado evaluar la mejor ubicación (A, B o C) de un proyecto para lo cual, se sabe:(Metodo Brown y Gibson)</t>
  </si>
  <si>
    <t>R</t>
  </si>
  <si>
    <t>Nivel educativo</t>
  </si>
  <si>
    <t>FS</t>
  </si>
  <si>
    <t>Final</t>
  </si>
  <si>
    <t>Se decide realizar un proyecto que dura doce años, el mismo que requiere los siguientes activos</t>
  </si>
  <si>
    <t>Terrenos</t>
  </si>
  <si>
    <t>equipo y maq</t>
  </si>
  <si>
    <t>Considerando que los equipos y maquinaria pueden acelerar su depreciación, calcule el tiempo (años) en los cuales se deben depreciar los equipos y la maquinaria a fin de maximizar el Vaf del proyecto.</t>
  </si>
  <si>
    <t>Po</t>
  </si>
  <si>
    <t>V12</t>
  </si>
  <si>
    <t>Nota. El tiempo de vida útil corre luego de la puesta en operación.</t>
  </si>
  <si>
    <t>Equipo y maq</t>
  </si>
  <si>
    <t>Infraestruct</t>
  </si>
  <si>
    <t>220 para el primer año con run crecimiento anual del 5%, los precios son de 5 y crece 2% anual. Al respecto se viene evaluando</t>
  </si>
  <si>
    <t>dos tamaños de maquina, una que produce 300 u y su precio es 2500, la otra produce hasta 400 y su precio es 2800.</t>
  </si>
  <si>
    <t>La vida util de ambas es 10 años y valor residual cero. Pero al finalizar el proyecto se pueden vender en 120 y 200 respectivamente</t>
  </si>
  <si>
    <t xml:space="preserve">La producción de planta del proyecto es </t>
  </si>
  <si>
    <t>220 (1+ alfap)</t>
  </si>
  <si>
    <t>los precios de cada producto son 5 y estos crecen a razon del 1% cada año,  los egresos del proyecto son el 60%  de los ingresos</t>
  </si>
  <si>
    <t>Indique el tamaño optimo para maximizar la rentabilidad en el proyecto.</t>
  </si>
  <si>
    <t>alfap</t>
  </si>
  <si>
    <t>Producción</t>
  </si>
  <si>
    <t>Capacidad</t>
  </si>
  <si>
    <t>Precios</t>
  </si>
  <si>
    <t>Rentab</t>
  </si>
  <si>
    <t xml:space="preserve">Para atender la demanda </t>
  </si>
  <si>
    <t>Los terrenos se adquieren en el año (-3), la infraestructura se ejecuta en el año -2  y los equipos y maquinaria se adquieren en el año (-1). Los ingresos son 150, 190, 200, 230 y 290 para los 5 primeros años</t>
  </si>
  <si>
    <t>en adelante los ingresos crecen 5% al año, los egresos del año 1 son 100 y los siguientes años crecen al 3% anual</t>
  </si>
  <si>
    <t xml:space="preserve"> La información recabada del mercado donde se desarrollará el proyecto es:</t>
  </si>
  <si>
    <t>VANf</t>
  </si>
  <si>
    <t>Los egresos consideran los costos fijos (independientes de la producción) y se estima en 10% del valor de la inversión y los costos variables (dependientes de la producción) son el 35% de los ingresos</t>
  </si>
  <si>
    <t>Se decide realizar un proyecto que dura 16 años para atender la demandapotencial de un mercado que se ha estimado</t>
  </si>
  <si>
    <t>Localizacion</t>
  </si>
  <si>
    <t xml:space="preserve">Total </t>
  </si>
  <si>
    <t>FACTORES OBJETIVOS</t>
  </si>
  <si>
    <t>FACTORES CRÍTICOS</t>
  </si>
  <si>
    <t>Hecha la evaluación de factores críticos quedan como alternativas los lugares: A, B y C.</t>
  </si>
  <si>
    <t>Los factors objetivos tiene los siguientes costos</t>
  </si>
  <si>
    <t xml:space="preserve"> 1/C</t>
  </si>
  <si>
    <t>Sumatoria</t>
  </si>
  <si>
    <t>FACTORES SUBJETIVOS</t>
  </si>
  <si>
    <t>Factores relevantes identificados: Clima, vivienda, educación</t>
  </si>
  <si>
    <t>Wj</t>
  </si>
  <si>
    <t>Factor j</t>
  </si>
  <si>
    <t>Vivienda</t>
  </si>
  <si>
    <t>Educación</t>
  </si>
  <si>
    <t>Suma 
preferencia</t>
  </si>
  <si>
    <t xml:space="preserve">Suma </t>
  </si>
  <si>
    <t>R1</t>
  </si>
  <si>
    <t>Rij</t>
  </si>
  <si>
    <t>IDENTIFICACION DE LOCALIZACION</t>
  </si>
  <si>
    <t>IL</t>
  </si>
  <si>
    <t>α</t>
  </si>
  <si>
    <t xml:space="preserve"> 1-α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</si>
</sst>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  <numFmt numFmtId="167" formatCode="_-* #,##0.0_-;\-* #,##0.0_-;_-* &quot;-&quot;??_-;_-@_-"/>
    <numFmt numFmtId="168" formatCode="0.000"/>
    <numFmt numFmtId="169" formatCode="#,##0.00_ ;[Red]\-#,##0.00\ "/>
    <numFmt numFmtId="170" formatCode="#,##0.0;[Red]\-#,##0.0"/>
    <numFmt numFmtId="171" formatCode="0.00000"/>
    <numFmt numFmtId="172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212529"/>
      <name val="Segoe UI"/>
      <family val="2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212529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5" fontId="0" fillId="0" borderId="0" xfId="2" applyNumberFormat="1" applyFont="1"/>
    <xf numFmtId="43" fontId="0" fillId="0" borderId="1" xfId="1" applyFont="1" applyBorder="1"/>
    <xf numFmtId="9" fontId="0" fillId="0" borderId="0" xfId="0" applyNumberFormat="1"/>
    <xf numFmtId="0" fontId="3" fillId="0" borderId="0" xfId="0" applyFont="1"/>
    <xf numFmtId="167" fontId="0" fillId="0" borderId="1" xfId="0" applyNumberFormat="1" applyBorder="1"/>
    <xf numFmtId="0" fontId="0" fillId="0" borderId="1" xfId="0" applyBorder="1" applyAlignment="1">
      <alignment horizontal="center"/>
    </xf>
    <xf numFmtId="40" fontId="0" fillId="0" borderId="0" xfId="0" applyNumberFormat="1"/>
    <xf numFmtId="164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2" fontId="0" fillId="0" borderId="1" xfId="0" applyNumberFormat="1" applyBorder="1"/>
    <xf numFmtId="10" fontId="0" fillId="3" borderId="1" xfId="0" applyNumberFormat="1" applyFill="1" applyBorder="1"/>
    <xf numFmtId="0" fontId="0" fillId="0" borderId="1" xfId="0" applyFill="1" applyBorder="1"/>
    <xf numFmtId="166" fontId="0" fillId="0" borderId="0" xfId="1" applyNumberFormat="1" applyFont="1"/>
    <xf numFmtId="0" fontId="0" fillId="0" borderId="0" xfId="0" applyBorder="1"/>
    <xf numFmtId="0" fontId="0" fillId="0" borderId="0" xfId="0" applyFill="1" applyBorder="1"/>
    <xf numFmtId="0" fontId="4" fillId="0" borderId="0" xfId="0" applyFont="1" applyAlignment="1">
      <alignment horizontal="left" vertical="center" wrapText="1"/>
    </xf>
    <xf numFmtId="2" fontId="0" fillId="0" borderId="0" xfId="0" applyNumberFormat="1"/>
    <xf numFmtId="168" fontId="0" fillId="0" borderId="1" xfId="0" applyNumberFormat="1" applyBorder="1"/>
    <xf numFmtId="164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5" fillId="0" borderId="0" xfId="0" applyFont="1"/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3" fillId="4" borderId="0" xfId="0" applyFont="1" applyFill="1"/>
    <xf numFmtId="40" fontId="0" fillId="3" borderId="1" xfId="0" applyNumberFormat="1" applyFill="1" applyBorder="1"/>
    <xf numFmtId="2" fontId="2" fillId="0" borderId="1" xfId="0" applyNumberFormat="1" applyFont="1" applyBorder="1"/>
    <xf numFmtId="0" fontId="0" fillId="5" borderId="1" xfId="0" applyFill="1" applyBorder="1"/>
    <xf numFmtId="2" fontId="0" fillId="6" borderId="1" xfId="0" applyNumberFormat="1" applyFill="1" applyBorder="1"/>
    <xf numFmtId="164" fontId="0" fillId="6" borderId="1" xfId="0" applyNumberFormat="1" applyFill="1" applyBorder="1"/>
    <xf numFmtId="0" fontId="0" fillId="6" borderId="1" xfId="0" applyFill="1" applyBorder="1"/>
    <xf numFmtId="164" fontId="0" fillId="5" borderId="1" xfId="0" applyNumberFormat="1" applyFill="1" applyBorder="1"/>
    <xf numFmtId="166" fontId="0" fillId="6" borderId="1" xfId="0" applyNumberFormat="1" applyFill="1" applyBorder="1"/>
    <xf numFmtId="0" fontId="6" fillId="0" borderId="0" xfId="0" applyFont="1" applyAlignment="1">
      <alignment horizontal="left" vertical="center"/>
    </xf>
    <xf numFmtId="10" fontId="0" fillId="3" borderId="0" xfId="0" applyNumberFormat="1" applyFill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171" fontId="0" fillId="0" borderId="0" xfId="0" applyNumberFormat="1"/>
    <xf numFmtId="0" fontId="2" fillId="0" borderId="1" xfId="0" applyFont="1" applyFill="1" applyBorder="1"/>
    <xf numFmtId="171" fontId="0" fillId="0" borderId="1" xfId="0" applyNumberFormat="1" applyBorder="1"/>
    <xf numFmtId="0" fontId="0" fillId="0" borderId="1" xfId="0" applyBorder="1" applyAlignment="1">
      <alignment horizontal="center"/>
    </xf>
    <xf numFmtId="168" fontId="0" fillId="0" borderId="0" xfId="0" applyNumberFormat="1"/>
    <xf numFmtId="168" fontId="2" fillId="0" borderId="1" xfId="0" applyNumberFormat="1" applyFont="1" applyBorder="1"/>
    <xf numFmtId="172" fontId="2" fillId="0" borderId="1" xfId="0" applyNumberFormat="1" applyFont="1" applyBorder="1"/>
    <xf numFmtId="168" fontId="3" fillId="4" borderId="2" xfId="0" applyNumberFormat="1" applyFont="1" applyFill="1" applyBorder="1"/>
    <xf numFmtId="0" fontId="8" fillId="0" borderId="0" xfId="0" applyFont="1"/>
    <xf numFmtId="169" fontId="0" fillId="0" borderId="1" xfId="0" applyNumberFormat="1" applyBorder="1"/>
    <xf numFmtId="0" fontId="3" fillId="4" borderId="1" xfId="0" applyFont="1" applyFill="1" applyBorder="1"/>
    <xf numFmtId="2" fontId="0" fillId="0" borderId="3" xfId="0" applyNumberFormat="1" applyBorder="1"/>
    <xf numFmtId="165" fontId="3" fillId="4" borderId="1" xfId="2" applyNumberFormat="1" applyFont="1" applyFill="1" applyBorder="1"/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/>
    <xf numFmtId="2" fontId="3" fillId="0" borderId="1" xfId="0" applyNumberFormat="1" applyFont="1" applyBorder="1"/>
    <xf numFmtId="43" fontId="3" fillId="4" borderId="1" xfId="1" applyFont="1" applyFill="1" applyBorder="1"/>
    <xf numFmtId="0" fontId="2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/>
    <xf numFmtId="0" fontId="0" fillId="8" borderId="1" xfId="0" applyFill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2" xfId="0" applyFill="1" applyBorder="1"/>
    <xf numFmtId="172" fontId="0" fillId="0" borderId="13" xfId="0" applyNumberFormat="1" applyBorder="1"/>
    <xf numFmtId="172" fontId="0" fillId="0" borderId="16" xfId="0" applyNumberFormat="1" applyBorder="1"/>
    <xf numFmtId="172" fontId="0" fillId="0" borderId="15" xfId="0" applyNumberFormat="1" applyBorder="1"/>
    <xf numFmtId="172" fontId="0" fillId="0" borderId="17" xfId="0" applyNumberFormat="1" applyBorder="1"/>
    <xf numFmtId="0" fontId="0" fillId="0" borderId="19" xfId="0" applyBorder="1"/>
    <xf numFmtId="0" fontId="0" fillId="0" borderId="20" xfId="0" applyBorder="1"/>
    <xf numFmtId="0" fontId="0" fillId="2" borderId="6" xfId="0" applyFill="1" applyBorder="1"/>
    <xf numFmtId="0" fontId="9" fillId="0" borderId="0" xfId="0" applyFont="1"/>
    <xf numFmtId="168" fontId="5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 wrapText="1"/>
    </xf>
  </cellXfs>
  <cellStyles count="4">
    <cellStyle name="Millares" xfId="1" builtinId="3"/>
    <cellStyle name="Millares 2" xfId="3" xr:uid="{00000000-0005-0000-0000-000001000000}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88A2-D830-4AF8-9DFE-841F74D49760}">
  <dimension ref="A1:W153"/>
  <sheetViews>
    <sheetView tabSelected="1" topLeftCell="A76" zoomScale="110" zoomScaleNormal="110" workbookViewId="0">
      <selection activeCell="E44" sqref="E44"/>
    </sheetView>
  </sheetViews>
  <sheetFormatPr baseColWidth="10" defaultRowHeight="15" x14ac:dyDescent="0.25"/>
  <cols>
    <col min="1" max="1" width="5" customWidth="1"/>
    <col min="2" max="2" width="12" bestFit="1" customWidth="1"/>
    <col min="3" max="3" width="12.42578125" customWidth="1"/>
    <col min="4" max="4" width="15" customWidth="1"/>
    <col min="7" max="9" width="12" bestFit="1" customWidth="1"/>
    <col min="13" max="13" width="11.42578125" bestFit="1" customWidth="1"/>
    <col min="14" max="14" width="13.85546875" customWidth="1"/>
    <col min="15" max="15" width="11.42578125" bestFit="1" customWidth="1"/>
    <col min="18" max="18" width="9.5703125" customWidth="1"/>
    <col min="19" max="19" width="10.85546875" customWidth="1"/>
    <col min="23" max="23" width="12" bestFit="1" customWidth="1"/>
    <col min="24" max="24" width="5.85546875" customWidth="1"/>
    <col min="27" max="27" width="9.28515625" customWidth="1"/>
    <col min="28" max="28" width="9.5703125" customWidth="1"/>
    <col min="29" max="29" width="9.42578125" customWidth="1"/>
    <col min="32" max="32" width="8.5703125" customWidth="1"/>
    <col min="33" max="33" width="8.85546875" customWidth="1"/>
  </cols>
  <sheetData>
    <row r="1" spans="1:9" x14ac:dyDescent="0.25">
      <c r="A1">
        <v>1</v>
      </c>
      <c r="B1" t="s">
        <v>71</v>
      </c>
    </row>
    <row r="3" spans="1:9" x14ac:dyDescent="0.25">
      <c r="B3" t="s">
        <v>51</v>
      </c>
    </row>
    <row r="5" spans="1:9" x14ac:dyDescent="0.25">
      <c r="B5" t="s">
        <v>52</v>
      </c>
    </row>
    <row r="6" spans="1:9" ht="15.75" x14ac:dyDescent="0.25">
      <c r="B6" s="40" t="s">
        <v>53</v>
      </c>
    </row>
    <row r="7" spans="1:9" x14ac:dyDescent="0.25">
      <c r="B7" t="s">
        <v>54</v>
      </c>
    </row>
    <row r="8" spans="1:9" x14ac:dyDescent="0.25">
      <c r="B8" t="s">
        <v>55</v>
      </c>
    </row>
    <row r="9" spans="1:9" x14ac:dyDescent="0.25">
      <c r="B9" t="s">
        <v>56</v>
      </c>
    </row>
    <row r="10" spans="1:9" ht="15.75" x14ac:dyDescent="0.25">
      <c r="B10" s="40" t="s">
        <v>57</v>
      </c>
    </row>
    <row r="12" spans="1:9" ht="15.75" x14ac:dyDescent="0.25">
      <c r="B12" s="40" t="s">
        <v>58</v>
      </c>
    </row>
    <row r="13" spans="1:9" x14ac:dyDescent="0.25">
      <c r="B13" t="s">
        <v>62</v>
      </c>
    </row>
    <row r="14" spans="1:9" ht="15.75" x14ac:dyDescent="0.25">
      <c r="B14" s="43" t="s">
        <v>43</v>
      </c>
      <c r="C14" s="29" t="s">
        <v>44</v>
      </c>
      <c r="D14" s="29" t="s">
        <v>59</v>
      </c>
      <c r="E14" s="29" t="s">
        <v>46</v>
      </c>
      <c r="F14" s="29" t="s">
        <v>47</v>
      </c>
      <c r="G14" s="45" t="s">
        <v>50</v>
      </c>
      <c r="H14" s="45" t="s">
        <v>60</v>
      </c>
      <c r="I14" s="45" t="s">
        <v>61</v>
      </c>
    </row>
    <row r="15" spans="1:9" ht="15.75" x14ac:dyDescent="0.25">
      <c r="B15" s="29" t="s">
        <v>48</v>
      </c>
      <c r="C15" s="42">
        <v>19.100000000000001</v>
      </c>
      <c r="D15" s="42">
        <v>110.7</v>
      </c>
      <c r="E15" s="42">
        <v>6.2</v>
      </c>
      <c r="F15" s="42">
        <v>10</v>
      </c>
      <c r="G15" s="2">
        <f>+SUM(C15:F15)</f>
        <v>146</v>
      </c>
      <c r="H15" s="46">
        <f>1/G15</f>
        <v>6.8493150684931503E-3</v>
      </c>
      <c r="I15" s="50">
        <f>+H15/$H$18</f>
        <v>0.33439697886548342</v>
      </c>
    </row>
    <row r="16" spans="1:9" ht="15.75" x14ac:dyDescent="0.25">
      <c r="B16" s="43" t="s">
        <v>49</v>
      </c>
      <c r="C16" s="42">
        <v>19.7</v>
      </c>
      <c r="D16" s="42">
        <v>110.3</v>
      </c>
      <c r="E16" s="42">
        <v>6.8</v>
      </c>
      <c r="F16" s="42">
        <v>10</v>
      </c>
      <c r="G16" s="2">
        <f t="shared" ref="G16:G17" si="0">+SUM(C16:F16)</f>
        <v>146.80000000000001</v>
      </c>
      <c r="H16" s="46">
        <f t="shared" ref="H16:H17" si="1">1/G16</f>
        <v>6.8119891008174378E-3</v>
      </c>
      <c r="I16" s="50">
        <f t="shared" ref="I16:I17" si="2">+H16/$H$18</f>
        <v>0.33257465200518105</v>
      </c>
    </row>
    <row r="17" spans="2:14" ht="15.75" x14ac:dyDescent="0.25">
      <c r="B17" s="29" t="s">
        <v>50</v>
      </c>
      <c r="C17" s="42">
        <v>18.899999999999999</v>
      </c>
      <c r="D17" s="42">
        <v>110.8</v>
      </c>
      <c r="E17" s="42">
        <v>6.9</v>
      </c>
      <c r="F17" s="42">
        <v>10</v>
      </c>
      <c r="G17" s="2">
        <f t="shared" si="0"/>
        <v>146.6</v>
      </c>
      <c r="H17" s="46">
        <f t="shared" si="1"/>
        <v>6.8212824010914054E-3</v>
      </c>
      <c r="I17" s="50">
        <f t="shared" si="2"/>
        <v>0.33302836912933553</v>
      </c>
    </row>
    <row r="18" spans="2:14" x14ac:dyDescent="0.25">
      <c r="H18" s="44">
        <f>+SUM(H15:H17)</f>
        <v>2.0482586570401994E-2</v>
      </c>
    </row>
    <row r="19" spans="2:14" x14ac:dyDescent="0.25">
      <c r="B19" t="s">
        <v>63</v>
      </c>
    </row>
    <row r="20" spans="2:14" x14ac:dyDescent="0.25">
      <c r="C20" s="84" t="s">
        <v>65</v>
      </c>
      <c r="D20" s="84"/>
      <c r="E20" s="84"/>
      <c r="F20" s="84"/>
      <c r="G20" s="29" t="s">
        <v>69</v>
      </c>
      <c r="H20" s="29" t="s">
        <v>70</v>
      </c>
    </row>
    <row r="21" spans="2:14" x14ac:dyDescent="0.25">
      <c r="B21" s="2" t="s">
        <v>64</v>
      </c>
      <c r="C21" s="2">
        <v>1</v>
      </c>
      <c r="D21" s="2">
        <v>2</v>
      </c>
      <c r="E21" s="2">
        <v>3</v>
      </c>
      <c r="F21" s="2"/>
      <c r="G21" s="2"/>
      <c r="H21" s="2"/>
    </row>
    <row r="22" spans="2:14" x14ac:dyDescent="0.25">
      <c r="B22" s="2" t="s">
        <v>66</v>
      </c>
      <c r="C22" s="2">
        <v>1</v>
      </c>
      <c r="D22" s="2">
        <v>1</v>
      </c>
      <c r="E22" s="2"/>
      <c r="F22" s="2"/>
      <c r="G22" s="2">
        <f>+SUM(C22:F22)</f>
        <v>2</v>
      </c>
      <c r="H22" s="2">
        <f>+G22/$G$25</f>
        <v>0.5</v>
      </c>
    </row>
    <row r="23" spans="2:14" x14ac:dyDescent="0.25">
      <c r="B23" s="2" t="s">
        <v>67</v>
      </c>
      <c r="C23" s="2">
        <v>0</v>
      </c>
      <c r="D23" s="2"/>
      <c r="E23" s="2">
        <v>1</v>
      </c>
      <c r="F23" s="2"/>
      <c r="G23" s="2">
        <f t="shared" ref="G23:G24" si="3">+SUM(C23:F23)</f>
        <v>1</v>
      </c>
      <c r="H23" s="2">
        <f t="shared" ref="H23:H24" si="4">+G23/$G$25</f>
        <v>0.25</v>
      </c>
    </row>
    <row r="24" spans="2:14" x14ac:dyDescent="0.25">
      <c r="B24" s="2" t="s">
        <v>68</v>
      </c>
      <c r="C24" s="2"/>
      <c r="D24" s="2">
        <v>0</v>
      </c>
      <c r="E24" s="2">
        <v>1</v>
      </c>
      <c r="F24" s="2"/>
      <c r="G24" s="2">
        <f t="shared" si="3"/>
        <v>1</v>
      </c>
      <c r="H24" s="2">
        <f t="shared" si="4"/>
        <v>0.25</v>
      </c>
    </row>
    <row r="25" spans="2:14" x14ac:dyDescent="0.25">
      <c r="G25">
        <f>+SUM(G22:G24)</f>
        <v>4</v>
      </c>
    </row>
    <row r="27" spans="2:14" x14ac:dyDescent="0.25">
      <c r="C27" s="85" t="s">
        <v>66</v>
      </c>
      <c r="D27" s="85"/>
      <c r="E27" s="85"/>
      <c r="F27" s="85"/>
      <c r="G27" s="85" t="s">
        <v>67</v>
      </c>
      <c r="H27" s="85"/>
      <c r="I27" s="85"/>
      <c r="J27" s="85"/>
      <c r="K27" s="85" t="s">
        <v>73</v>
      </c>
      <c r="L27" s="85"/>
      <c r="M27" s="85"/>
      <c r="N27" s="85"/>
    </row>
    <row r="29" spans="2:14" x14ac:dyDescent="0.25">
      <c r="C29" s="2">
        <v>1</v>
      </c>
      <c r="D29" s="2">
        <v>2</v>
      </c>
      <c r="E29" s="2">
        <v>3</v>
      </c>
      <c r="F29" s="2" t="s">
        <v>72</v>
      </c>
      <c r="G29" s="2">
        <v>1</v>
      </c>
      <c r="H29" s="2">
        <v>2</v>
      </c>
      <c r="I29" s="2">
        <v>3</v>
      </c>
      <c r="J29" s="2" t="s">
        <v>72</v>
      </c>
      <c r="K29" s="2">
        <v>1</v>
      </c>
      <c r="L29" s="2">
        <v>2</v>
      </c>
      <c r="M29" s="2">
        <v>3</v>
      </c>
      <c r="N29" s="2" t="s">
        <v>72</v>
      </c>
    </row>
    <row r="30" spans="2:14" x14ac:dyDescent="0.25">
      <c r="B30" t="s">
        <v>48</v>
      </c>
      <c r="C30" s="2">
        <v>1</v>
      </c>
      <c r="D30" s="2">
        <v>1</v>
      </c>
      <c r="E30" s="2"/>
      <c r="F30" s="2">
        <f>+SUM(C30:E30)/SUM($C$30:$E$32)</f>
        <v>0.5</v>
      </c>
      <c r="G30" s="2">
        <v>0</v>
      </c>
      <c r="H30" s="2">
        <v>0</v>
      </c>
      <c r="I30" s="2"/>
      <c r="J30" s="2">
        <f>+SUM(G30:I30)/SUM($G$30:$I$32)</f>
        <v>0</v>
      </c>
      <c r="K30" s="2">
        <v>0</v>
      </c>
      <c r="L30" s="2">
        <v>0</v>
      </c>
      <c r="M30" s="2"/>
      <c r="N30" s="22">
        <f>+SUM(K30:M30)/SUM($K$30:$M$32)</f>
        <v>0</v>
      </c>
    </row>
    <row r="31" spans="2:14" x14ac:dyDescent="0.25">
      <c r="B31" t="s">
        <v>49</v>
      </c>
      <c r="C31" s="2">
        <v>1</v>
      </c>
      <c r="D31" s="2"/>
      <c r="E31" s="2">
        <v>1</v>
      </c>
      <c r="F31" s="2">
        <f t="shared" ref="F31:F32" si="5">+SUM(C31:E31)/SUM($C$30:$E$32)</f>
        <v>0.5</v>
      </c>
      <c r="G31" s="2">
        <v>1</v>
      </c>
      <c r="H31" s="2"/>
      <c r="I31" s="2">
        <v>1</v>
      </c>
      <c r="J31" s="2">
        <f t="shared" ref="J31:J32" si="6">+SUM(G31:I31)/SUM($G$30:$I$32)</f>
        <v>0.5</v>
      </c>
      <c r="K31" s="2">
        <v>1</v>
      </c>
      <c r="L31" s="2"/>
      <c r="M31" s="2">
        <v>0</v>
      </c>
      <c r="N31" s="22">
        <f t="shared" ref="N31:N32" si="7">+SUM(K31:M31)/SUM($K$30:$M$32)</f>
        <v>0.33333333333333331</v>
      </c>
    </row>
    <row r="32" spans="2:14" x14ac:dyDescent="0.25">
      <c r="B32" t="s">
        <v>50</v>
      </c>
      <c r="C32" s="2"/>
      <c r="D32" s="2">
        <v>0</v>
      </c>
      <c r="E32" s="2">
        <v>0</v>
      </c>
      <c r="F32" s="2">
        <f t="shared" si="5"/>
        <v>0</v>
      </c>
      <c r="G32" s="2"/>
      <c r="H32" s="2">
        <v>1</v>
      </c>
      <c r="I32" s="2">
        <v>1</v>
      </c>
      <c r="J32" s="2">
        <f t="shared" si="6"/>
        <v>0.5</v>
      </c>
      <c r="K32" s="2"/>
      <c r="L32" s="2">
        <v>1</v>
      </c>
      <c r="M32" s="2">
        <v>1</v>
      </c>
      <c r="N32" s="22">
        <f t="shared" si="7"/>
        <v>0.66666666666666663</v>
      </c>
    </row>
    <row r="35" spans="1:10" x14ac:dyDescent="0.25">
      <c r="B35" s="2" t="s">
        <v>64</v>
      </c>
      <c r="C35" s="2" t="s">
        <v>48</v>
      </c>
      <c r="D35" s="2" t="s">
        <v>49</v>
      </c>
      <c r="E35" s="2" t="s">
        <v>50</v>
      </c>
      <c r="F35" s="2" t="s">
        <v>70</v>
      </c>
      <c r="I35" s="30" t="s">
        <v>74</v>
      </c>
    </row>
    <row r="36" spans="1:10" x14ac:dyDescent="0.25">
      <c r="B36" s="2" t="s">
        <v>66</v>
      </c>
      <c r="C36" s="2">
        <f>+F30</f>
        <v>0.5</v>
      </c>
      <c r="D36" s="2">
        <f>+F31</f>
        <v>0.5</v>
      </c>
      <c r="E36" s="2">
        <f>+J30</f>
        <v>0</v>
      </c>
      <c r="F36" s="2">
        <f>+H22</f>
        <v>0.5</v>
      </c>
      <c r="H36" s="2" t="s">
        <v>48</v>
      </c>
      <c r="I36" s="29">
        <f>+C36*F36+C37*F37+C38*F38</f>
        <v>0.25</v>
      </c>
    </row>
    <row r="37" spans="1:10" x14ac:dyDescent="0.25">
      <c r="B37" s="2" t="s">
        <v>67</v>
      </c>
      <c r="C37" s="2">
        <f>+J30</f>
        <v>0</v>
      </c>
      <c r="D37" s="2">
        <f>+J31</f>
        <v>0.5</v>
      </c>
      <c r="E37" s="2">
        <f>+J32</f>
        <v>0.5</v>
      </c>
      <c r="F37" s="2">
        <f t="shared" ref="F37:F38" si="8">+H23</f>
        <v>0.25</v>
      </c>
      <c r="H37" s="2" t="s">
        <v>49</v>
      </c>
      <c r="I37" s="49">
        <f>+D36*F36+D37*F37+D38*F38</f>
        <v>0.45833333333333331</v>
      </c>
    </row>
    <row r="38" spans="1:10" x14ac:dyDescent="0.25">
      <c r="B38" s="2" t="s">
        <v>68</v>
      </c>
      <c r="C38" s="22">
        <f>+N30</f>
        <v>0</v>
      </c>
      <c r="D38" s="22">
        <f>+N31</f>
        <v>0.33333333333333331</v>
      </c>
      <c r="E38" s="22">
        <f>+N32</f>
        <v>0.66666666666666663</v>
      </c>
      <c r="F38" s="2">
        <f t="shared" si="8"/>
        <v>0.25</v>
      </c>
      <c r="H38" s="2" t="s">
        <v>50</v>
      </c>
      <c r="I38" s="49">
        <f>+E36*F36+E37*F37+E38*F38</f>
        <v>0.29166666666666663</v>
      </c>
    </row>
    <row r="40" spans="1:10" x14ac:dyDescent="0.25">
      <c r="B40">
        <f>1/3</f>
        <v>0.33333333333333331</v>
      </c>
      <c r="C40">
        <f>2/3</f>
        <v>0.66666666666666663</v>
      </c>
      <c r="D40">
        <f>+B40+C40</f>
        <v>1</v>
      </c>
    </row>
    <row r="42" spans="1:10" x14ac:dyDescent="0.25">
      <c r="B42" t="s">
        <v>75</v>
      </c>
    </row>
    <row r="43" spans="1:10" ht="15.75" thickBot="1" x14ac:dyDescent="0.3">
      <c r="B43" t="s">
        <v>48</v>
      </c>
      <c r="C43" s="48">
        <f>+$B$40*I36+$C$40*I15</f>
        <v>0.30626465257698893</v>
      </c>
    </row>
    <row r="44" spans="1:10" ht="15.75" thickBot="1" x14ac:dyDescent="0.3">
      <c r="B44" t="s">
        <v>49</v>
      </c>
      <c r="C44" s="51">
        <f t="shared" ref="C44" si="9">+$B$40*I37+$C$40*I16</f>
        <v>0.37449421244789849</v>
      </c>
    </row>
    <row r="45" spans="1:10" x14ac:dyDescent="0.25">
      <c r="B45" t="s">
        <v>50</v>
      </c>
      <c r="C45" s="48">
        <f>+$B$40*I38+$C$40*I17</f>
        <v>0.31924113497511253</v>
      </c>
    </row>
    <row r="46" spans="1:10" x14ac:dyDescent="0.25">
      <c r="A46" s="31" t="s">
        <v>34</v>
      </c>
      <c r="B46" t="s">
        <v>76</v>
      </c>
    </row>
    <row r="47" spans="1:10" x14ac:dyDescent="0.25">
      <c r="B47" s="29"/>
      <c r="C47" s="29" t="s">
        <v>24</v>
      </c>
      <c r="D47" s="29" t="s">
        <v>3</v>
      </c>
      <c r="E47" s="29" t="s">
        <v>23</v>
      </c>
      <c r="H47" s="45" t="s">
        <v>80</v>
      </c>
      <c r="I47" s="45" t="s">
        <v>14</v>
      </c>
      <c r="J47" s="45" t="s">
        <v>81</v>
      </c>
    </row>
    <row r="48" spans="1:10" x14ac:dyDescent="0.25">
      <c r="B48" s="2" t="s">
        <v>77</v>
      </c>
      <c r="C48" s="2">
        <v>100</v>
      </c>
      <c r="D48" s="2"/>
      <c r="E48" s="2"/>
      <c r="H48" s="1">
        <f>+C48*(1+N54)^3</f>
        <v>132.01396729999999</v>
      </c>
      <c r="I48" s="14">
        <v>0</v>
      </c>
      <c r="J48" s="1">
        <f>+H48</f>
        <v>132.01396729999999</v>
      </c>
    </row>
    <row r="49" spans="2:17" x14ac:dyDescent="0.25">
      <c r="B49" s="2" t="s">
        <v>78</v>
      </c>
      <c r="C49" s="2">
        <v>200</v>
      </c>
      <c r="D49" s="2">
        <v>10</v>
      </c>
      <c r="E49" s="2">
        <v>50</v>
      </c>
      <c r="H49" s="2">
        <f>+C49*(1+N54)</f>
        <v>219.4</v>
      </c>
      <c r="I49" s="14">
        <f>+(H49-E49)/D49</f>
        <v>16.940000000000001</v>
      </c>
      <c r="J49" s="2">
        <v>50</v>
      </c>
    </row>
    <row r="50" spans="2:17" x14ac:dyDescent="0.25">
      <c r="B50" s="2" t="s">
        <v>33</v>
      </c>
      <c r="C50" s="2">
        <v>500</v>
      </c>
      <c r="D50" s="2">
        <v>20</v>
      </c>
      <c r="E50" s="2">
        <v>44</v>
      </c>
      <c r="H50" s="1">
        <f>+C50*(1+N54)^2</f>
        <v>601.70449999999994</v>
      </c>
      <c r="I50" s="14">
        <f>+(H50-E50)/D50</f>
        <v>27.885224999999998</v>
      </c>
      <c r="J50" s="1">
        <f>+H50-12*(H50-E50)/20</f>
        <v>267.08179999999993</v>
      </c>
    </row>
    <row r="51" spans="2:17" x14ac:dyDescent="0.25">
      <c r="B51" s="52" t="s">
        <v>98</v>
      </c>
    </row>
    <row r="52" spans="2:17" x14ac:dyDescent="0.25">
      <c r="B52" s="52" t="s">
        <v>99</v>
      </c>
    </row>
    <row r="53" spans="2:17" x14ac:dyDescent="0.25">
      <c r="B53" t="s">
        <v>100</v>
      </c>
    </row>
    <row r="54" spans="2:17" x14ac:dyDescent="0.25">
      <c r="B54" t="s">
        <v>31</v>
      </c>
      <c r="C54" s="5">
        <v>0.02</v>
      </c>
      <c r="D54" t="s">
        <v>30</v>
      </c>
      <c r="E54" s="5">
        <v>0.09</v>
      </c>
      <c r="F54" t="s">
        <v>29</v>
      </c>
      <c r="G54">
        <v>0.8</v>
      </c>
      <c r="I54" t="s">
        <v>28</v>
      </c>
      <c r="J54" s="3">
        <v>2.1000000000000001E-2</v>
      </c>
      <c r="M54" t="s">
        <v>15</v>
      </c>
      <c r="N54" s="26">
        <f>+C54+G54*(E54-C54)+J54</f>
        <v>9.7000000000000003E-2</v>
      </c>
    </row>
    <row r="55" spans="2:17" x14ac:dyDescent="0.25">
      <c r="B55" t="s">
        <v>79</v>
      </c>
    </row>
    <row r="56" spans="2:17" x14ac:dyDescent="0.25">
      <c r="B56" t="s">
        <v>82</v>
      </c>
    </row>
    <row r="57" spans="2:17" x14ac:dyDescent="0.25">
      <c r="B57" s="12"/>
      <c r="C57" s="12">
        <v>0</v>
      </c>
      <c r="D57" s="12">
        <v>1</v>
      </c>
      <c r="E57" s="12">
        <v>2</v>
      </c>
      <c r="F57" s="12">
        <v>3</v>
      </c>
      <c r="G57" s="12">
        <v>4</v>
      </c>
      <c r="H57" s="12">
        <v>5</v>
      </c>
      <c r="I57" s="12">
        <v>6</v>
      </c>
      <c r="J57" s="12">
        <v>7</v>
      </c>
      <c r="K57" s="12">
        <v>8</v>
      </c>
      <c r="L57" s="12">
        <v>9</v>
      </c>
      <c r="M57" s="12">
        <v>10</v>
      </c>
      <c r="N57" s="12">
        <v>11</v>
      </c>
      <c r="O57" s="12">
        <v>12</v>
      </c>
    </row>
    <row r="58" spans="2:17" x14ac:dyDescent="0.25">
      <c r="B58" s="2" t="s">
        <v>11</v>
      </c>
      <c r="C58" s="1">
        <f>-(H48+H49+H50)</f>
        <v>-953.11846729999991</v>
      </c>
      <c r="D58" s="2">
        <v>0</v>
      </c>
      <c r="E58" s="2">
        <v>0</v>
      </c>
      <c r="F58" s="1">
        <v>0</v>
      </c>
      <c r="G58" s="1">
        <v>0</v>
      </c>
      <c r="H58" s="1">
        <v>0</v>
      </c>
      <c r="I58" s="1">
        <v>0</v>
      </c>
      <c r="J58" s="1">
        <f>+U54</f>
        <v>0</v>
      </c>
      <c r="K58" s="1">
        <f>+V54</f>
        <v>0</v>
      </c>
      <c r="L58" s="1">
        <f t="shared" ref="L58:N58" si="10">+W54</f>
        <v>0</v>
      </c>
      <c r="M58" s="1">
        <f t="shared" si="10"/>
        <v>0</v>
      </c>
      <c r="N58" s="1">
        <f t="shared" si="10"/>
        <v>0</v>
      </c>
      <c r="O58" s="1">
        <f>+J48+J49+J50</f>
        <v>449.09576729999992</v>
      </c>
    </row>
    <row r="59" spans="2:17" x14ac:dyDescent="0.25">
      <c r="B59" s="2" t="s">
        <v>9</v>
      </c>
      <c r="C59" s="2">
        <v>0</v>
      </c>
      <c r="D59" s="33">
        <v>150</v>
      </c>
      <c r="E59" s="33">
        <v>190</v>
      </c>
      <c r="F59" s="33">
        <v>200</v>
      </c>
      <c r="G59" s="33">
        <v>230</v>
      </c>
      <c r="H59" s="33">
        <v>290</v>
      </c>
      <c r="I59" s="14">
        <f t="shared" ref="I59:O59" si="11">+H59*(1+$Q$59)</f>
        <v>304.5</v>
      </c>
      <c r="J59" s="14">
        <f t="shared" si="11"/>
        <v>319.72500000000002</v>
      </c>
      <c r="K59" s="14">
        <f t="shared" si="11"/>
        <v>335.71125000000006</v>
      </c>
      <c r="L59" s="14">
        <f t="shared" si="11"/>
        <v>352.49681250000009</v>
      </c>
      <c r="M59" s="14">
        <f t="shared" si="11"/>
        <v>370.12165312500014</v>
      </c>
      <c r="N59" s="14">
        <f t="shared" si="11"/>
        <v>388.62773578125018</v>
      </c>
      <c r="O59" s="14">
        <f t="shared" si="11"/>
        <v>408.0591225703127</v>
      </c>
      <c r="Q59" s="26">
        <v>0.05</v>
      </c>
    </row>
    <row r="60" spans="2:17" x14ac:dyDescent="0.25">
      <c r="B60" s="2" t="s">
        <v>8</v>
      </c>
      <c r="C60" s="2">
        <v>0</v>
      </c>
      <c r="D60" s="14">
        <v>100</v>
      </c>
      <c r="E60" s="14">
        <f t="shared" ref="E60:O60" si="12">+D60*(1+$Q$60)</f>
        <v>103</v>
      </c>
      <c r="F60" s="14">
        <f t="shared" si="12"/>
        <v>106.09</v>
      </c>
      <c r="G60" s="14">
        <f t="shared" si="12"/>
        <v>109.2727</v>
      </c>
      <c r="H60" s="14">
        <f t="shared" si="12"/>
        <v>112.550881</v>
      </c>
      <c r="I60" s="14">
        <f t="shared" si="12"/>
        <v>115.92740743</v>
      </c>
      <c r="J60" s="14">
        <f t="shared" si="12"/>
        <v>119.4052296529</v>
      </c>
      <c r="K60" s="14">
        <f t="shared" si="12"/>
        <v>122.987386542487</v>
      </c>
      <c r="L60" s="14">
        <f t="shared" si="12"/>
        <v>126.67700813876162</v>
      </c>
      <c r="M60" s="14">
        <f t="shared" si="12"/>
        <v>130.47731838292447</v>
      </c>
      <c r="N60" s="14">
        <f t="shared" si="12"/>
        <v>134.39163793441222</v>
      </c>
      <c r="O60" s="14">
        <f t="shared" si="12"/>
        <v>138.4233870724446</v>
      </c>
      <c r="Q60" s="5">
        <v>0.03</v>
      </c>
    </row>
    <row r="61" spans="2:17" x14ac:dyDescent="0.25">
      <c r="B61" s="2" t="s">
        <v>22</v>
      </c>
      <c r="C61" s="2">
        <v>0</v>
      </c>
      <c r="D61" s="1">
        <f>+D71+D72</f>
        <v>61.765225000000001</v>
      </c>
      <c r="E61" s="1">
        <f t="shared" ref="E61:O61" si="13">+E71+E72</f>
        <v>61.765225000000001</v>
      </c>
      <c r="F61" s="1">
        <f t="shared" si="13"/>
        <v>61.765225000000001</v>
      </c>
      <c r="G61" s="1">
        <f t="shared" si="13"/>
        <v>61.765225000000001</v>
      </c>
      <c r="H61" s="1">
        <f t="shared" si="13"/>
        <v>61.765225000000001</v>
      </c>
      <c r="I61" s="1">
        <f t="shared" si="13"/>
        <v>27.885224999999998</v>
      </c>
      <c r="J61" s="1">
        <f t="shared" si="13"/>
        <v>27.885224999999998</v>
      </c>
      <c r="K61" s="1">
        <f t="shared" si="13"/>
        <v>27.885224999999998</v>
      </c>
      <c r="L61" s="1">
        <f t="shared" si="13"/>
        <v>27.885224999999998</v>
      </c>
      <c r="M61" s="1">
        <f t="shared" si="13"/>
        <v>27.885224999999998</v>
      </c>
      <c r="N61" s="1">
        <f t="shared" si="13"/>
        <v>27.885224999999998</v>
      </c>
      <c r="O61" s="1">
        <f t="shared" si="13"/>
        <v>27.885224999999998</v>
      </c>
    </row>
    <row r="62" spans="2:17" x14ac:dyDescent="0.25">
      <c r="B62" s="2" t="s">
        <v>27</v>
      </c>
      <c r="C62" s="2">
        <f t="shared" ref="C62:K62" si="14">+C59-C60-C61</f>
        <v>0</v>
      </c>
      <c r="D62" s="1">
        <f>+D59-D60-D61</f>
        <v>-11.765225000000001</v>
      </c>
      <c r="E62" s="1">
        <f t="shared" si="14"/>
        <v>25.234774999999999</v>
      </c>
      <c r="F62" s="1">
        <f t="shared" si="14"/>
        <v>32.144774999999996</v>
      </c>
      <c r="G62" s="1">
        <f t="shared" si="14"/>
        <v>58.962074999999999</v>
      </c>
      <c r="H62" s="1">
        <f t="shared" si="14"/>
        <v>115.683894</v>
      </c>
      <c r="I62" s="1">
        <f t="shared" si="14"/>
        <v>160.68736756999999</v>
      </c>
      <c r="J62" s="1">
        <f t="shared" si="14"/>
        <v>172.43454534710003</v>
      </c>
      <c r="K62" s="1">
        <f t="shared" si="14"/>
        <v>184.83863845751307</v>
      </c>
      <c r="L62" s="1">
        <f t="shared" ref="L62:O62" si="15">+L59-L60-L61</f>
        <v>197.93457936123849</v>
      </c>
      <c r="M62" s="1">
        <f t="shared" si="15"/>
        <v>211.75910974207568</v>
      </c>
      <c r="N62" s="1">
        <f t="shared" si="15"/>
        <v>226.35087284683797</v>
      </c>
      <c r="O62" s="1">
        <f t="shared" si="15"/>
        <v>241.75051049786811</v>
      </c>
    </row>
    <row r="63" spans="2:17" x14ac:dyDescent="0.25">
      <c r="B63" s="2" t="s">
        <v>21</v>
      </c>
      <c r="C63" s="2">
        <f t="shared" ref="C63:K63" si="16">IF(C62&gt;0,0.3*C62,0)</f>
        <v>0</v>
      </c>
      <c r="D63" s="1">
        <f t="shared" si="16"/>
        <v>0</v>
      </c>
      <c r="E63" s="1">
        <f t="shared" si="16"/>
        <v>7.570432499999999</v>
      </c>
      <c r="F63" s="1">
        <f t="shared" si="16"/>
        <v>9.6434324999999976</v>
      </c>
      <c r="G63" s="1">
        <f t="shared" si="16"/>
        <v>17.688622499999997</v>
      </c>
      <c r="H63" s="1">
        <f t="shared" si="16"/>
        <v>34.705168199999996</v>
      </c>
      <c r="I63" s="1">
        <f t="shared" si="16"/>
        <v>48.206210270999996</v>
      </c>
      <c r="J63" s="1">
        <f t="shared" si="16"/>
        <v>51.730363604130005</v>
      </c>
      <c r="K63" s="1">
        <f t="shared" si="16"/>
        <v>55.451591537253918</v>
      </c>
      <c r="L63" s="1">
        <f t="shared" ref="L63:O63" si="17">IF(L62&gt;0,0.3*L62,0)</f>
        <v>59.380373808371544</v>
      </c>
      <c r="M63" s="1">
        <f t="shared" si="17"/>
        <v>63.527732922622704</v>
      </c>
      <c r="N63" s="1">
        <f t="shared" si="17"/>
        <v>67.905261854051389</v>
      </c>
      <c r="O63" s="1">
        <f t="shared" si="17"/>
        <v>72.525153149360435</v>
      </c>
    </row>
    <row r="64" spans="2:17" x14ac:dyDescent="0.25">
      <c r="B64" s="2" t="s">
        <v>17</v>
      </c>
      <c r="C64" s="2">
        <f t="shared" ref="C64:K64" si="18">+C62-C63</f>
        <v>0</v>
      </c>
      <c r="D64" s="1">
        <f t="shared" si="18"/>
        <v>-11.765225000000001</v>
      </c>
      <c r="E64" s="1">
        <f t="shared" si="18"/>
        <v>17.6643425</v>
      </c>
      <c r="F64" s="1">
        <f t="shared" si="18"/>
        <v>22.5013425</v>
      </c>
      <c r="G64" s="1">
        <f t="shared" si="18"/>
        <v>41.273452500000005</v>
      </c>
      <c r="H64" s="1">
        <f t="shared" si="18"/>
        <v>80.978725800000007</v>
      </c>
      <c r="I64" s="1">
        <f t="shared" si="18"/>
        <v>112.48115729899999</v>
      </c>
      <c r="J64" s="1">
        <f t="shared" si="18"/>
        <v>120.70418174297002</v>
      </c>
      <c r="K64" s="1">
        <f t="shared" si="18"/>
        <v>129.38704692025914</v>
      </c>
      <c r="L64" s="1">
        <f t="shared" ref="L64:O64" si="19">+L62-L63</f>
        <v>138.55420555286696</v>
      </c>
      <c r="M64" s="1">
        <f t="shared" si="19"/>
        <v>148.23137681945298</v>
      </c>
      <c r="N64" s="1">
        <f t="shared" si="19"/>
        <v>158.44561099278658</v>
      </c>
      <c r="O64" s="1">
        <f t="shared" si="19"/>
        <v>169.22535734850766</v>
      </c>
    </row>
    <row r="65" spans="1:17" x14ac:dyDescent="0.25">
      <c r="B65" s="12" t="s">
        <v>16</v>
      </c>
      <c r="C65" s="11">
        <f>+C58+C64+C61</f>
        <v>-953.11846729999991</v>
      </c>
      <c r="D65" s="10">
        <f t="shared" ref="D65:K65" si="20">+D64+D61</f>
        <v>50</v>
      </c>
      <c r="E65" s="10">
        <f t="shared" si="20"/>
        <v>79.429567500000005</v>
      </c>
      <c r="F65" s="10">
        <f t="shared" si="20"/>
        <v>84.266567500000008</v>
      </c>
      <c r="G65" s="10">
        <f t="shared" si="20"/>
        <v>103.03867750000001</v>
      </c>
      <c r="H65" s="10">
        <f t="shared" si="20"/>
        <v>142.74395079999999</v>
      </c>
      <c r="I65" s="10">
        <f t="shared" si="20"/>
        <v>140.36638229899998</v>
      </c>
      <c r="J65" s="10">
        <f t="shared" si="20"/>
        <v>148.58940674297003</v>
      </c>
      <c r="K65" s="10">
        <f t="shared" si="20"/>
        <v>157.27227192025913</v>
      </c>
      <c r="L65" s="10">
        <f t="shared" ref="L65:N65" si="21">+L64+L61</f>
        <v>166.43943055286695</v>
      </c>
      <c r="M65" s="10">
        <f t="shared" si="21"/>
        <v>176.11660181945297</v>
      </c>
      <c r="N65" s="10">
        <f t="shared" si="21"/>
        <v>186.33083599278658</v>
      </c>
      <c r="O65" s="10">
        <f>+O64+O61+O58</f>
        <v>646.20634964850751</v>
      </c>
    </row>
    <row r="66" spans="1:17" x14ac:dyDescent="0.25">
      <c r="B66" t="s">
        <v>0</v>
      </c>
      <c r="C66" s="9">
        <f>NPV(N54,D65:O65)</f>
        <v>991.85219541980746</v>
      </c>
    </row>
    <row r="67" spans="1:17" x14ac:dyDescent="0.25">
      <c r="B67" t="s">
        <v>42</v>
      </c>
      <c r="C67" s="24">
        <f>+C65+C66</f>
        <v>38.733728119807552</v>
      </c>
    </row>
    <row r="68" spans="1:17" x14ac:dyDescent="0.25">
      <c r="E68" t="s">
        <v>35</v>
      </c>
      <c r="F68" s="54">
        <v>5</v>
      </c>
    </row>
    <row r="69" spans="1:17" x14ac:dyDescent="0.25">
      <c r="C69" s="24"/>
    </row>
    <row r="70" spans="1:17" x14ac:dyDescent="0.25">
      <c r="C70" s="12">
        <v>0</v>
      </c>
      <c r="D70" s="12">
        <v>1</v>
      </c>
      <c r="E70" s="12">
        <v>2</v>
      </c>
      <c r="F70" s="12">
        <v>3</v>
      </c>
      <c r="G70" s="12">
        <v>4</v>
      </c>
      <c r="H70" s="12">
        <v>5</v>
      </c>
      <c r="I70" s="12">
        <v>6</v>
      </c>
      <c r="J70" s="12">
        <v>7</v>
      </c>
      <c r="K70" s="12">
        <v>8</v>
      </c>
      <c r="L70" s="12">
        <v>9</v>
      </c>
      <c r="M70" s="12">
        <v>10</v>
      </c>
      <c r="N70" s="12">
        <v>11</v>
      </c>
      <c r="O70" s="12">
        <v>12</v>
      </c>
      <c r="P70" s="2" t="s">
        <v>14</v>
      </c>
      <c r="Q70" s="2" t="s">
        <v>12</v>
      </c>
    </row>
    <row r="71" spans="1:17" x14ac:dyDescent="0.25">
      <c r="B71" s="2" t="s">
        <v>83</v>
      </c>
      <c r="C71" s="53">
        <f>+H49</f>
        <v>219.4</v>
      </c>
      <c r="D71" s="14">
        <f t="shared" ref="D71:O71" si="22">+IF(D70&lt;=$F$68,$P$71,0)</f>
        <v>33.880000000000003</v>
      </c>
      <c r="E71" s="14">
        <f t="shared" si="22"/>
        <v>33.880000000000003</v>
      </c>
      <c r="F71" s="14">
        <f t="shared" si="22"/>
        <v>33.880000000000003</v>
      </c>
      <c r="G71" s="14">
        <f t="shared" si="22"/>
        <v>33.880000000000003</v>
      </c>
      <c r="H71" s="14">
        <f t="shared" si="22"/>
        <v>33.880000000000003</v>
      </c>
      <c r="I71" s="14">
        <f t="shared" si="22"/>
        <v>0</v>
      </c>
      <c r="J71" s="14">
        <f t="shared" si="22"/>
        <v>0</v>
      </c>
      <c r="K71" s="14">
        <f t="shared" si="22"/>
        <v>0</v>
      </c>
      <c r="L71" s="14">
        <f t="shared" si="22"/>
        <v>0</v>
      </c>
      <c r="M71" s="14">
        <f t="shared" si="22"/>
        <v>0</v>
      </c>
      <c r="N71" s="14">
        <f t="shared" si="22"/>
        <v>0</v>
      </c>
      <c r="O71" s="14">
        <f t="shared" si="22"/>
        <v>0</v>
      </c>
      <c r="P71" s="14">
        <f>+(C71-E49)/F68</f>
        <v>33.880000000000003</v>
      </c>
      <c r="Q71" s="53">
        <f>+C71-SUM(D71:O71)</f>
        <v>50</v>
      </c>
    </row>
    <row r="72" spans="1:17" x14ac:dyDescent="0.25">
      <c r="B72" s="2" t="s">
        <v>84</v>
      </c>
      <c r="C72" s="53">
        <f>+H50</f>
        <v>601.70449999999994</v>
      </c>
      <c r="D72" s="53">
        <f>+P72</f>
        <v>27.885224999999998</v>
      </c>
      <c r="E72" s="53">
        <f>+P72</f>
        <v>27.885224999999998</v>
      </c>
      <c r="F72" s="53">
        <f t="shared" ref="F72:O72" si="23">+E72</f>
        <v>27.885224999999998</v>
      </c>
      <c r="G72" s="53">
        <f t="shared" si="23"/>
        <v>27.885224999999998</v>
      </c>
      <c r="H72" s="53">
        <f t="shared" si="23"/>
        <v>27.885224999999998</v>
      </c>
      <c r="I72" s="53">
        <f t="shared" si="23"/>
        <v>27.885224999999998</v>
      </c>
      <c r="J72" s="53">
        <f t="shared" si="23"/>
        <v>27.885224999999998</v>
      </c>
      <c r="K72" s="53">
        <f t="shared" si="23"/>
        <v>27.885224999999998</v>
      </c>
      <c r="L72" s="53">
        <f t="shared" si="23"/>
        <v>27.885224999999998</v>
      </c>
      <c r="M72" s="53">
        <f t="shared" si="23"/>
        <v>27.885224999999998</v>
      </c>
      <c r="N72" s="53">
        <f t="shared" si="23"/>
        <v>27.885224999999998</v>
      </c>
      <c r="O72" s="53">
        <f t="shared" si="23"/>
        <v>27.885224999999998</v>
      </c>
      <c r="P72" s="53">
        <f>+(C72-E50)/D50</f>
        <v>27.885224999999998</v>
      </c>
      <c r="Q72" s="53">
        <f>+C72-SUM(D72:O72)</f>
        <v>267.08179999999999</v>
      </c>
    </row>
    <row r="73" spans="1:17" x14ac:dyDescent="0.25">
      <c r="C73" s="24"/>
    </row>
    <row r="74" spans="1:17" x14ac:dyDescent="0.25">
      <c r="C74" s="24"/>
      <c r="D74" s="21">
        <f>+D59-D60</f>
        <v>50</v>
      </c>
      <c r="E74" s="21">
        <f t="shared" ref="E74:O74" si="24">+E59-E60</f>
        <v>87</v>
      </c>
      <c r="F74" s="21">
        <f t="shared" si="24"/>
        <v>93.91</v>
      </c>
      <c r="G74" s="21">
        <f t="shared" si="24"/>
        <v>120.7273</v>
      </c>
      <c r="H74" s="21">
        <f t="shared" si="24"/>
        <v>177.449119</v>
      </c>
      <c r="I74" s="21">
        <f t="shared" si="24"/>
        <v>188.57259256999998</v>
      </c>
      <c r="J74" s="21">
        <f t="shared" si="24"/>
        <v>200.31977034710002</v>
      </c>
      <c r="K74" s="21">
        <f t="shared" si="24"/>
        <v>212.72386345751306</v>
      </c>
      <c r="L74" s="21">
        <f t="shared" si="24"/>
        <v>225.81980436123848</v>
      </c>
      <c r="M74" s="21">
        <f t="shared" si="24"/>
        <v>239.64433474207567</v>
      </c>
      <c r="N74" s="21">
        <f t="shared" si="24"/>
        <v>254.23609784683796</v>
      </c>
      <c r="O74" s="21">
        <f t="shared" si="24"/>
        <v>269.6357354978681</v>
      </c>
    </row>
    <row r="76" spans="1:17" x14ac:dyDescent="0.25">
      <c r="C76" s="3"/>
    </row>
    <row r="78" spans="1:17" x14ac:dyDescent="0.25">
      <c r="A78" t="s">
        <v>32</v>
      </c>
      <c r="B78" t="s">
        <v>103</v>
      </c>
    </row>
    <row r="79" spans="1:17" x14ac:dyDescent="0.25">
      <c r="B79" t="s">
        <v>85</v>
      </c>
    </row>
    <row r="80" spans="1:17" x14ac:dyDescent="0.25">
      <c r="B80" t="s">
        <v>86</v>
      </c>
    </row>
    <row r="81" spans="2:23" x14ac:dyDescent="0.25">
      <c r="B81" t="s">
        <v>87</v>
      </c>
    </row>
    <row r="82" spans="2:23" x14ac:dyDescent="0.25">
      <c r="B82" t="s">
        <v>102</v>
      </c>
    </row>
    <row r="83" spans="2:23" x14ac:dyDescent="0.25">
      <c r="B83" t="s">
        <v>88</v>
      </c>
      <c r="E83" t="s">
        <v>89</v>
      </c>
      <c r="H83" t="s">
        <v>90</v>
      </c>
    </row>
    <row r="84" spans="2:23" x14ac:dyDescent="0.25">
      <c r="B84" t="s">
        <v>31</v>
      </c>
      <c r="C84" s="5">
        <v>0.02</v>
      </c>
      <c r="D84" t="s">
        <v>30</v>
      </c>
      <c r="E84" s="5">
        <v>0.09</v>
      </c>
      <c r="F84" t="s">
        <v>29</v>
      </c>
      <c r="G84">
        <v>1</v>
      </c>
      <c r="H84" t="s">
        <v>28</v>
      </c>
      <c r="I84" s="27">
        <v>3.5000000000000003E-2</v>
      </c>
    </row>
    <row r="85" spans="2:23" x14ac:dyDescent="0.25">
      <c r="B85" t="s">
        <v>91</v>
      </c>
    </row>
    <row r="86" spans="2:23" x14ac:dyDescent="0.25">
      <c r="C86" s="5"/>
      <c r="E86" t="s">
        <v>15</v>
      </c>
      <c r="F86" s="26">
        <f>+C84+G84*(E84-C84)+I84</f>
        <v>0.125</v>
      </c>
      <c r="I86">
        <v>250</v>
      </c>
      <c r="J86">
        <v>4</v>
      </c>
      <c r="K86">
        <v>100</v>
      </c>
    </row>
    <row r="87" spans="2:23" x14ac:dyDescent="0.25">
      <c r="C87" s="5"/>
      <c r="F87" s="26"/>
      <c r="I87" s="5">
        <v>0.05</v>
      </c>
      <c r="J87" s="5">
        <v>0.02</v>
      </c>
      <c r="K87" s="5">
        <v>0.6</v>
      </c>
    </row>
    <row r="88" spans="2:23" x14ac:dyDescent="0.25">
      <c r="C88" s="5" t="s">
        <v>93</v>
      </c>
      <c r="D88" s="14">
        <f>+I86</f>
        <v>250</v>
      </c>
      <c r="E88" s="14">
        <f>+D88*(1+$I$87)</f>
        <v>262.5</v>
      </c>
      <c r="F88" s="14">
        <f t="shared" ref="F88:R88" si="25">+E88*(1+$I$87)</f>
        <v>275.625</v>
      </c>
      <c r="G88" s="14">
        <f t="shared" si="25"/>
        <v>289.40625</v>
      </c>
      <c r="H88" s="14">
        <f t="shared" si="25"/>
        <v>303.87656250000003</v>
      </c>
      <c r="I88" s="14">
        <f t="shared" si="25"/>
        <v>319.07039062500007</v>
      </c>
      <c r="J88" s="14">
        <f t="shared" si="25"/>
        <v>335.02391015625011</v>
      </c>
      <c r="K88" s="14">
        <f t="shared" si="25"/>
        <v>351.77510566406261</v>
      </c>
      <c r="L88" s="14">
        <f t="shared" si="25"/>
        <v>369.36386094726578</v>
      </c>
      <c r="M88" s="14">
        <f t="shared" si="25"/>
        <v>387.83205399462906</v>
      </c>
      <c r="N88" s="14">
        <f t="shared" si="25"/>
        <v>407.22365669436056</v>
      </c>
      <c r="O88" s="14">
        <f t="shared" si="25"/>
        <v>427.58483952907858</v>
      </c>
      <c r="P88" s="14">
        <f t="shared" si="25"/>
        <v>448.96408150553253</v>
      </c>
      <c r="Q88" s="14">
        <f t="shared" si="25"/>
        <v>471.41228558080917</v>
      </c>
      <c r="R88" s="14">
        <f t="shared" si="25"/>
        <v>494.98289985984962</v>
      </c>
      <c r="S88" s="14">
        <f t="shared" ref="S88" si="26">+R88*(1+$I$87)</f>
        <v>519.73204485284214</v>
      </c>
      <c r="T88" t="s">
        <v>94</v>
      </c>
      <c r="U88" s="28">
        <v>300</v>
      </c>
    </row>
    <row r="89" spans="2:23" x14ac:dyDescent="0.25">
      <c r="C89" t="s">
        <v>95</v>
      </c>
      <c r="D89">
        <f>+J86</f>
        <v>4</v>
      </c>
      <c r="E89" s="21">
        <f>+D89*(1+$J$87)</f>
        <v>4.08</v>
      </c>
      <c r="F89" s="21">
        <f t="shared" ref="F89:R89" si="27">+E89*(1+$J$87)</f>
        <v>4.1616</v>
      </c>
      <c r="G89" s="21">
        <f t="shared" si="27"/>
        <v>4.2448319999999997</v>
      </c>
      <c r="H89" s="21">
        <f t="shared" si="27"/>
        <v>4.3297286399999999</v>
      </c>
      <c r="I89" s="21">
        <f t="shared" si="27"/>
        <v>4.4163232128000001</v>
      </c>
      <c r="J89" s="21">
        <f t="shared" si="27"/>
        <v>4.5046496770560003</v>
      </c>
      <c r="K89" s="21">
        <f t="shared" si="27"/>
        <v>4.5947426705971202</v>
      </c>
      <c r="L89" s="21">
        <f t="shared" si="27"/>
        <v>4.686637524009063</v>
      </c>
      <c r="M89" s="21">
        <f t="shared" si="27"/>
        <v>4.7803702744892442</v>
      </c>
      <c r="N89" s="21">
        <f t="shared" si="27"/>
        <v>4.8759776799790293</v>
      </c>
      <c r="O89" s="21">
        <f t="shared" si="27"/>
        <v>4.9734972335786098</v>
      </c>
      <c r="P89" s="21">
        <f t="shared" si="27"/>
        <v>5.072967178250182</v>
      </c>
      <c r="Q89" s="21">
        <f t="shared" si="27"/>
        <v>5.1744265218151853</v>
      </c>
      <c r="R89" s="21">
        <f t="shared" si="27"/>
        <v>5.2779150522514895</v>
      </c>
      <c r="S89" s="21">
        <f t="shared" ref="S89" si="28">+R89*(1+$J$87)</f>
        <v>5.3834733532965195</v>
      </c>
    </row>
    <row r="90" spans="2:23" x14ac:dyDescent="0.25">
      <c r="B90" s="12"/>
      <c r="C90" s="12">
        <v>0</v>
      </c>
      <c r="D90" s="12">
        <v>1</v>
      </c>
      <c r="E90" s="12">
        <v>2</v>
      </c>
      <c r="F90" s="12">
        <v>3</v>
      </c>
      <c r="G90" s="12">
        <v>4</v>
      </c>
      <c r="H90" s="12">
        <v>5</v>
      </c>
      <c r="I90" s="12">
        <v>6</v>
      </c>
      <c r="J90" s="12">
        <v>7</v>
      </c>
      <c r="K90" s="12">
        <v>8</v>
      </c>
      <c r="L90" s="12">
        <v>9</v>
      </c>
      <c r="M90" s="12">
        <v>10</v>
      </c>
      <c r="N90" s="12">
        <v>11</v>
      </c>
      <c r="O90" s="12">
        <v>12</v>
      </c>
      <c r="P90" s="12">
        <v>13</v>
      </c>
      <c r="Q90" s="12">
        <v>14</v>
      </c>
      <c r="R90" s="12">
        <v>15</v>
      </c>
      <c r="S90" s="12">
        <v>16</v>
      </c>
    </row>
    <row r="91" spans="2:23" x14ac:dyDescent="0.25">
      <c r="B91" s="2" t="s">
        <v>11</v>
      </c>
      <c r="C91" s="2">
        <v>-2500</v>
      </c>
      <c r="D91" s="2">
        <v>0</v>
      </c>
      <c r="E91" s="2">
        <v>0</v>
      </c>
      <c r="F91" s="1">
        <v>0</v>
      </c>
      <c r="G91" s="1">
        <v>0</v>
      </c>
      <c r="H91" s="1">
        <v>0</v>
      </c>
      <c r="I91" s="1">
        <v>0</v>
      </c>
      <c r="J91" s="1">
        <f t="shared" ref="J91:Q91" si="29">+T86</f>
        <v>0</v>
      </c>
      <c r="K91" s="1">
        <f t="shared" si="29"/>
        <v>0</v>
      </c>
      <c r="L91" s="1">
        <f t="shared" si="29"/>
        <v>0</v>
      </c>
      <c r="M91" s="1">
        <f t="shared" si="29"/>
        <v>0</v>
      </c>
      <c r="N91" s="1">
        <f t="shared" si="29"/>
        <v>0</v>
      </c>
      <c r="O91" s="1">
        <f t="shared" si="29"/>
        <v>0</v>
      </c>
      <c r="P91" s="1">
        <f t="shared" si="29"/>
        <v>0</v>
      </c>
      <c r="Q91" s="1">
        <f t="shared" si="29"/>
        <v>0</v>
      </c>
      <c r="R91" s="1">
        <v>0</v>
      </c>
      <c r="S91" s="1">
        <v>120</v>
      </c>
      <c r="W91">
        <f>2500*(400/300)</f>
        <v>3333.333333333333</v>
      </c>
    </row>
    <row r="92" spans="2:23" x14ac:dyDescent="0.25">
      <c r="B92" s="2" t="s">
        <v>9</v>
      </c>
      <c r="C92" s="2">
        <v>0</v>
      </c>
      <c r="D92" s="23">
        <f>IF($U$88&gt;D88,D88*D89,$U$88*D89)</f>
        <v>1000</v>
      </c>
      <c r="E92" s="23">
        <f t="shared" ref="E92:R92" si="30">IF($U$88&gt;E88,E88*E89,$U$88*E89)</f>
        <v>1071</v>
      </c>
      <c r="F92" s="23">
        <f t="shared" si="30"/>
        <v>1147.0409999999999</v>
      </c>
      <c r="G92" s="23">
        <f t="shared" si="30"/>
        <v>1228.4809109999999</v>
      </c>
      <c r="H92" s="23">
        <f t="shared" si="30"/>
        <v>1298.918592</v>
      </c>
      <c r="I92" s="23">
        <f t="shared" si="30"/>
        <v>1324.8969638400001</v>
      </c>
      <c r="J92" s="23">
        <f t="shared" si="30"/>
        <v>1351.3949031168002</v>
      </c>
      <c r="K92" s="23">
        <f t="shared" si="30"/>
        <v>1378.4228011791361</v>
      </c>
      <c r="L92" s="23">
        <f t="shared" si="30"/>
        <v>1405.991257202719</v>
      </c>
      <c r="M92" s="23">
        <f t="shared" si="30"/>
        <v>1434.1110823467732</v>
      </c>
      <c r="N92" s="23">
        <f t="shared" si="30"/>
        <v>1462.7933039937088</v>
      </c>
      <c r="O92" s="23">
        <f t="shared" si="30"/>
        <v>1492.0491700735829</v>
      </c>
      <c r="P92" s="23">
        <f t="shared" si="30"/>
        <v>1521.8901534750546</v>
      </c>
      <c r="Q92" s="23">
        <f t="shared" si="30"/>
        <v>1552.3279565445555</v>
      </c>
      <c r="R92" s="23">
        <f t="shared" si="30"/>
        <v>1583.3745156754469</v>
      </c>
      <c r="S92" s="23">
        <f t="shared" ref="S92" si="31">IF($U$88&gt;S88,S88*S89,$U$88*S89)</f>
        <v>1615.0420059889559</v>
      </c>
      <c r="T92" s="55"/>
    </row>
    <row r="93" spans="2:23" x14ac:dyDescent="0.25">
      <c r="B93" s="2" t="s">
        <v>8</v>
      </c>
      <c r="C93" s="2">
        <v>0</v>
      </c>
      <c r="D93" s="14">
        <f>-10%*$C$91+0.35*D92</f>
        <v>600</v>
      </c>
      <c r="E93" s="14">
        <f t="shared" ref="E93:S93" si="32">-10%*$C$91+0.35*E92</f>
        <v>624.84999999999991</v>
      </c>
      <c r="F93" s="14">
        <f t="shared" si="32"/>
        <v>651.46434999999997</v>
      </c>
      <c r="G93" s="14">
        <f t="shared" si="32"/>
        <v>679.96831884999995</v>
      </c>
      <c r="H93" s="14">
        <f t="shared" si="32"/>
        <v>704.6215072</v>
      </c>
      <c r="I93" s="14">
        <f t="shared" si="32"/>
        <v>713.71393734399999</v>
      </c>
      <c r="J93" s="14">
        <f t="shared" si="32"/>
        <v>722.98821609088009</v>
      </c>
      <c r="K93" s="14">
        <f t="shared" si="32"/>
        <v>732.44798041269758</v>
      </c>
      <c r="L93" s="14">
        <f t="shared" si="32"/>
        <v>742.09694002095159</v>
      </c>
      <c r="M93" s="14">
        <f t="shared" si="32"/>
        <v>751.93887882137051</v>
      </c>
      <c r="N93" s="14">
        <f t="shared" si="32"/>
        <v>761.977656397798</v>
      </c>
      <c r="O93" s="14">
        <f t="shared" si="32"/>
        <v>772.21720952575401</v>
      </c>
      <c r="P93" s="14">
        <f t="shared" si="32"/>
        <v>782.66155371626905</v>
      </c>
      <c r="Q93" s="14">
        <f t="shared" si="32"/>
        <v>793.31478479059433</v>
      </c>
      <c r="R93" s="14">
        <f t="shared" si="32"/>
        <v>804.18108048640636</v>
      </c>
      <c r="S93" s="14">
        <f t="shared" si="32"/>
        <v>815.26470209613456</v>
      </c>
    </row>
    <row r="94" spans="2:23" x14ac:dyDescent="0.25">
      <c r="B94" s="2" t="s">
        <v>22</v>
      </c>
      <c r="C94" s="2">
        <v>0</v>
      </c>
      <c r="D94" s="1">
        <f>+(-C91)/10</f>
        <v>250</v>
      </c>
      <c r="E94" s="1">
        <f t="shared" ref="E94:M94" si="33">+D94</f>
        <v>250</v>
      </c>
      <c r="F94" s="1">
        <f t="shared" si="33"/>
        <v>250</v>
      </c>
      <c r="G94" s="1">
        <f t="shared" si="33"/>
        <v>250</v>
      </c>
      <c r="H94" s="1">
        <f t="shared" si="33"/>
        <v>250</v>
      </c>
      <c r="I94" s="1">
        <f t="shared" si="33"/>
        <v>250</v>
      </c>
      <c r="J94" s="1">
        <f t="shared" si="33"/>
        <v>250</v>
      </c>
      <c r="K94" s="1">
        <f t="shared" si="33"/>
        <v>250</v>
      </c>
      <c r="L94" s="1">
        <f t="shared" si="33"/>
        <v>250</v>
      </c>
      <c r="M94" s="1">
        <f t="shared" si="33"/>
        <v>250</v>
      </c>
      <c r="N94" s="1"/>
      <c r="O94" s="1"/>
      <c r="P94" s="1"/>
      <c r="Q94" s="1"/>
      <c r="R94" s="1"/>
      <c r="S94" s="1"/>
    </row>
    <row r="95" spans="2:23" x14ac:dyDescent="0.25">
      <c r="B95" s="2" t="s">
        <v>27</v>
      </c>
      <c r="C95" s="2">
        <f t="shared" ref="C95" si="34">+C92-C93-C94</f>
        <v>0</v>
      </c>
      <c r="D95" s="1">
        <f>+D92-D93-D94</f>
        <v>150</v>
      </c>
      <c r="E95" s="1">
        <f t="shared" ref="E95:R95" si="35">+E92-E93-E94</f>
        <v>196.15000000000009</v>
      </c>
      <c r="F95" s="1">
        <f t="shared" si="35"/>
        <v>245.57664999999997</v>
      </c>
      <c r="G95" s="1">
        <f t="shared" si="35"/>
        <v>298.51259214999993</v>
      </c>
      <c r="H95" s="1">
        <f t="shared" si="35"/>
        <v>344.29708479999999</v>
      </c>
      <c r="I95" s="1">
        <f t="shared" si="35"/>
        <v>361.18302649600014</v>
      </c>
      <c r="J95" s="1">
        <f t="shared" si="35"/>
        <v>378.40668702592006</v>
      </c>
      <c r="K95" s="1">
        <f t="shared" si="35"/>
        <v>395.97482076643848</v>
      </c>
      <c r="L95" s="1">
        <f t="shared" si="35"/>
        <v>413.89431718176741</v>
      </c>
      <c r="M95" s="1">
        <f t="shared" si="35"/>
        <v>432.17220352540267</v>
      </c>
      <c r="N95" s="1">
        <f t="shared" si="35"/>
        <v>700.81564759591083</v>
      </c>
      <c r="O95" s="1">
        <f t="shared" si="35"/>
        <v>719.83196054782888</v>
      </c>
      <c r="P95" s="1">
        <f t="shared" si="35"/>
        <v>739.22859975878555</v>
      </c>
      <c r="Q95" s="1">
        <f t="shared" si="35"/>
        <v>759.01317175396116</v>
      </c>
      <c r="R95" s="1">
        <f t="shared" si="35"/>
        <v>779.19343518904054</v>
      </c>
      <c r="S95" s="1">
        <f t="shared" ref="S95" si="36">+S92-S93-S94</f>
        <v>799.77730389282135</v>
      </c>
    </row>
    <row r="96" spans="2:23" x14ac:dyDescent="0.25">
      <c r="B96" s="2" t="s">
        <v>21</v>
      </c>
      <c r="C96" s="2">
        <f t="shared" ref="C96:R96" si="37">IF(C95&gt;0,0.3*C95,0)</f>
        <v>0</v>
      </c>
      <c r="D96" s="1">
        <f t="shared" si="37"/>
        <v>45</v>
      </c>
      <c r="E96" s="1">
        <f t="shared" si="37"/>
        <v>58.845000000000027</v>
      </c>
      <c r="F96" s="1">
        <f t="shared" si="37"/>
        <v>73.672994999999986</v>
      </c>
      <c r="G96" s="1">
        <f t="shared" si="37"/>
        <v>89.553777644999982</v>
      </c>
      <c r="H96" s="1">
        <f t="shared" si="37"/>
        <v>103.28912543999999</v>
      </c>
      <c r="I96" s="1">
        <f t="shared" si="37"/>
        <v>108.35490794880003</v>
      </c>
      <c r="J96" s="1">
        <f t="shared" si="37"/>
        <v>113.52200610777602</v>
      </c>
      <c r="K96" s="1">
        <f t="shared" si="37"/>
        <v>118.79244622993154</v>
      </c>
      <c r="L96" s="1">
        <f t="shared" si="37"/>
        <v>124.16829515453021</v>
      </c>
      <c r="M96" s="1">
        <f t="shared" si="37"/>
        <v>129.6516610576208</v>
      </c>
      <c r="N96" s="1">
        <f t="shared" si="37"/>
        <v>210.24469427877324</v>
      </c>
      <c r="O96" s="1">
        <f t="shared" si="37"/>
        <v>215.94958816434865</v>
      </c>
      <c r="P96" s="1">
        <f t="shared" si="37"/>
        <v>221.76857992763567</v>
      </c>
      <c r="Q96" s="1">
        <f t="shared" si="37"/>
        <v>227.70395152618835</v>
      </c>
      <c r="R96" s="1">
        <f t="shared" si="37"/>
        <v>233.75803055671216</v>
      </c>
      <c r="S96" s="1">
        <f t="shared" ref="S96" si="38">IF(S95&gt;0,0.3*S95,0)</f>
        <v>239.93319116784639</v>
      </c>
    </row>
    <row r="97" spans="2:21" x14ac:dyDescent="0.25">
      <c r="B97" s="2" t="s">
        <v>17</v>
      </c>
      <c r="C97" s="2">
        <f t="shared" ref="C97:R97" si="39">+C95-C96</f>
        <v>0</v>
      </c>
      <c r="D97" s="1">
        <f t="shared" si="39"/>
        <v>105</v>
      </c>
      <c r="E97" s="1">
        <f t="shared" si="39"/>
        <v>137.30500000000006</v>
      </c>
      <c r="F97" s="1">
        <f t="shared" si="39"/>
        <v>171.90365499999999</v>
      </c>
      <c r="G97" s="1">
        <f t="shared" si="39"/>
        <v>208.95881450499996</v>
      </c>
      <c r="H97" s="1">
        <f t="shared" si="39"/>
        <v>241.00795936</v>
      </c>
      <c r="I97" s="1">
        <f t="shared" si="39"/>
        <v>252.82811854720012</v>
      </c>
      <c r="J97" s="1">
        <f t="shared" si="39"/>
        <v>264.88468091814406</v>
      </c>
      <c r="K97" s="1">
        <f t="shared" si="39"/>
        <v>277.18237453650693</v>
      </c>
      <c r="L97" s="1">
        <f t="shared" si="39"/>
        <v>289.72602202723721</v>
      </c>
      <c r="M97" s="1">
        <f t="shared" si="39"/>
        <v>302.52054246778187</v>
      </c>
      <c r="N97" s="1">
        <f t="shared" si="39"/>
        <v>490.57095331713759</v>
      </c>
      <c r="O97" s="1">
        <f t="shared" si="39"/>
        <v>503.88237238348023</v>
      </c>
      <c r="P97" s="1">
        <f t="shared" si="39"/>
        <v>517.46001983114991</v>
      </c>
      <c r="Q97" s="1">
        <f t="shared" si="39"/>
        <v>531.30922022777281</v>
      </c>
      <c r="R97" s="1">
        <f t="shared" si="39"/>
        <v>545.43540463232841</v>
      </c>
      <c r="S97" s="1">
        <f t="shared" ref="S97" si="40">+S95-S96</f>
        <v>559.84411272497493</v>
      </c>
    </row>
    <row r="98" spans="2:21" x14ac:dyDescent="0.25">
      <c r="B98" s="12" t="s">
        <v>16</v>
      </c>
      <c r="C98" s="12">
        <f>+C91+C97+C94</f>
        <v>-2500</v>
      </c>
      <c r="D98" s="10">
        <f t="shared" ref="D98:Q98" si="41">+D97+D94</f>
        <v>355</v>
      </c>
      <c r="E98" s="10">
        <f t="shared" si="41"/>
        <v>387.30500000000006</v>
      </c>
      <c r="F98" s="10">
        <f t="shared" si="41"/>
        <v>421.90365499999996</v>
      </c>
      <c r="G98" s="10">
        <f t="shared" si="41"/>
        <v>458.95881450499996</v>
      </c>
      <c r="H98" s="10">
        <f t="shared" si="41"/>
        <v>491.00795935999997</v>
      </c>
      <c r="I98" s="10">
        <f t="shared" si="41"/>
        <v>502.82811854720012</v>
      </c>
      <c r="J98" s="10">
        <f t="shared" si="41"/>
        <v>514.88468091814411</v>
      </c>
      <c r="K98" s="10">
        <f t="shared" si="41"/>
        <v>527.18237453650693</v>
      </c>
      <c r="L98" s="10">
        <f t="shared" si="41"/>
        <v>539.72602202723715</v>
      </c>
      <c r="M98" s="10">
        <f t="shared" si="41"/>
        <v>552.52054246778187</v>
      </c>
      <c r="N98" s="10">
        <f t="shared" si="41"/>
        <v>490.57095331713759</v>
      </c>
      <c r="O98" s="10">
        <f t="shared" si="41"/>
        <v>503.88237238348023</v>
      </c>
      <c r="P98" s="10">
        <f t="shared" si="41"/>
        <v>517.46001983114991</v>
      </c>
      <c r="Q98" s="10">
        <f t="shared" si="41"/>
        <v>531.30922022777281</v>
      </c>
      <c r="R98" s="10">
        <f>+R97+R94</f>
        <v>545.43540463232841</v>
      </c>
      <c r="S98" s="10">
        <f>+S97+S94+S91</f>
        <v>679.84411272497493</v>
      </c>
    </row>
    <row r="100" spans="2:21" x14ac:dyDescent="0.25">
      <c r="B100" t="s">
        <v>0</v>
      </c>
      <c r="C100" s="25">
        <f>NPV(F86,D98:S98)</f>
        <v>3180.6978361877791</v>
      </c>
    </row>
    <row r="101" spans="2:21" x14ac:dyDescent="0.25">
      <c r="B101" t="s">
        <v>26</v>
      </c>
      <c r="C101" s="24">
        <f>+C98+C100</f>
        <v>680.6978361877791</v>
      </c>
    </row>
    <row r="102" spans="2:21" x14ac:dyDescent="0.25">
      <c r="B102" t="s">
        <v>96</v>
      </c>
      <c r="C102" s="3">
        <f>+C101/-C98</f>
        <v>0.27227913447511165</v>
      </c>
    </row>
    <row r="103" spans="2:21" x14ac:dyDescent="0.25">
      <c r="C103" s="3"/>
    </row>
    <row r="104" spans="2:21" x14ac:dyDescent="0.25">
      <c r="C104" s="3"/>
    </row>
    <row r="105" spans="2:21" x14ac:dyDescent="0.25">
      <c r="B105" t="s">
        <v>31</v>
      </c>
      <c r="C105" s="5">
        <v>0.02</v>
      </c>
      <c r="D105" t="s">
        <v>30</v>
      </c>
      <c r="E105" s="5">
        <v>0.09</v>
      </c>
      <c r="F105" t="s">
        <v>29</v>
      </c>
      <c r="G105">
        <v>1</v>
      </c>
      <c r="H105" t="s">
        <v>28</v>
      </c>
      <c r="I105" s="27">
        <v>3.5000000000000003E-2</v>
      </c>
    </row>
    <row r="106" spans="2:21" x14ac:dyDescent="0.25">
      <c r="B106" t="s">
        <v>97</v>
      </c>
    </row>
    <row r="107" spans="2:21" x14ac:dyDescent="0.25">
      <c r="B107" t="s">
        <v>92</v>
      </c>
      <c r="C107" s="5">
        <v>0.05</v>
      </c>
      <c r="E107" t="s">
        <v>15</v>
      </c>
      <c r="F107" s="26">
        <f>+C105+G105*(E105-C105)+I105</f>
        <v>0.125</v>
      </c>
      <c r="I107">
        <v>200</v>
      </c>
      <c r="J107">
        <f>+J86</f>
        <v>4</v>
      </c>
      <c r="K107">
        <v>100</v>
      </c>
    </row>
    <row r="108" spans="2:21" x14ac:dyDescent="0.25">
      <c r="C108" s="5"/>
      <c r="F108" s="26"/>
      <c r="I108" s="5">
        <v>0.05</v>
      </c>
      <c r="J108" s="5">
        <v>0.02</v>
      </c>
      <c r="K108" s="5">
        <v>0.6</v>
      </c>
    </row>
    <row r="109" spans="2:21" x14ac:dyDescent="0.25">
      <c r="C109" s="5" t="s">
        <v>93</v>
      </c>
      <c r="D109" s="14">
        <f>+I86</f>
        <v>250</v>
      </c>
      <c r="E109" s="14">
        <f>+D109*(1+$I$108)</f>
        <v>262.5</v>
      </c>
      <c r="F109" s="14">
        <f t="shared" ref="F109:R109" si="42">+E109*(1+$I$108)</f>
        <v>275.625</v>
      </c>
      <c r="G109" s="14">
        <f t="shared" si="42"/>
        <v>289.40625</v>
      </c>
      <c r="H109" s="14">
        <f t="shared" si="42"/>
        <v>303.87656250000003</v>
      </c>
      <c r="I109" s="14">
        <f t="shared" si="42"/>
        <v>319.07039062500007</v>
      </c>
      <c r="J109" s="14">
        <f t="shared" si="42"/>
        <v>335.02391015625011</v>
      </c>
      <c r="K109" s="14">
        <f t="shared" si="42"/>
        <v>351.77510566406261</v>
      </c>
      <c r="L109" s="14">
        <f t="shared" si="42"/>
        <v>369.36386094726578</v>
      </c>
      <c r="M109" s="14">
        <f t="shared" si="42"/>
        <v>387.83205399462906</v>
      </c>
      <c r="N109" s="14">
        <f t="shared" si="42"/>
        <v>407.22365669436056</v>
      </c>
      <c r="O109" s="14">
        <f t="shared" si="42"/>
        <v>427.58483952907858</v>
      </c>
      <c r="P109" s="14">
        <f t="shared" si="42"/>
        <v>448.96408150553253</v>
      </c>
      <c r="Q109" s="14">
        <f t="shared" si="42"/>
        <v>471.41228558080917</v>
      </c>
      <c r="R109" s="14">
        <f t="shared" si="42"/>
        <v>494.98289985984962</v>
      </c>
      <c r="S109" s="14">
        <f t="shared" ref="S109" si="43">+R109*(1+$I$108)</f>
        <v>519.73204485284214</v>
      </c>
      <c r="T109" t="s">
        <v>94</v>
      </c>
      <c r="U109">
        <v>400</v>
      </c>
    </row>
    <row r="110" spans="2:21" x14ac:dyDescent="0.25">
      <c r="C110" t="s">
        <v>95</v>
      </c>
      <c r="D110">
        <f>+J107</f>
        <v>4</v>
      </c>
      <c r="E110" s="21">
        <f>+D110*(1+$J$108)</f>
        <v>4.08</v>
      </c>
      <c r="F110" s="21">
        <f t="shared" ref="F110:R110" si="44">+E110*(1+$J$108)</f>
        <v>4.1616</v>
      </c>
      <c r="G110" s="21">
        <f t="shared" si="44"/>
        <v>4.2448319999999997</v>
      </c>
      <c r="H110" s="21">
        <f t="shared" si="44"/>
        <v>4.3297286399999999</v>
      </c>
      <c r="I110" s="21">
        <f t="shared" si="44"/>
        <v>4.4163232128000001</v>
      </c>
      <c r="J110" s="21">
        <f t="shared" si="44"/>
        <v>4.5046496770560003</v>
      </c>
      <c r="K110" s="21">
        <f t="shared" si="44"/>
        <v>4.5947426705971202</v>
      </c>
      <c r="L110" s="21">
        <f t="shared" si="44"/>
        <v>4.686637524009063</v>
      </c>
      <c r="M110" s="21">
        <f t="shared" si="44"/>
        <v>4.7803702744892442</v>
      </c>
      <c r="N110" s="21">
        <f t="shared" si="44"/>
        <v>4.8759776799790293</v>
      </c>
      <c r="O110" s="21">
        <f t="shared" si="44"/>
        <v>4.9734972335786098</v>
      </c>
      <c r="P110" s="21">
        <f t="shared" si="44"/>
        <v>5.072967178250182</v>
      </c>
      <c r="Q110" s="21">
        <f t="shared" si="44"/>
        <v>5.1744265218151853</v>
      </c>
      <c r="R110" s="21">
        <f t="shared" si="44"/>
        <v>5.2779150522514895</v>
      </c>
      <c r="S110" s="21">
        <f t="shared" ref="S110" si="45">+R110*(1+$J$108)</f>
        <v>5.3834733532965195</v>
      </c>
    </row>
    <row r="111" spans="2:21" x14ac:dyDescent="0.25">
      <c r="B111" s="12"/>
      <c r="C111" s="12">
        <v>0</v>
      </c>
      <c r="D111" s="12">
        <v>1</v>
      </c>
      <c r="E111" s="12">
        <v>2</v>
      </c>
      <c r="F111" s="12">
        <v>3</v>
      </c>
      <c r="G111" s="12">
        <v>4</v>
      </c>
      <c r="H111" s="12">
        <v>5</v>
      </c>
      <c r="I111" s="12">
        <v>6</v>
      </c>
      <c r="J111" s="12">
        <v>7</v>
      </c>
      <c r="K111" s="12">
        <v>8</v>
      </c>
      <c r="L111" s="12">
        <v>9</v>
      </c>
      <c r="M111" s="12">
        <v>10</v>
      </c>
      <c r="N111" s="12">
        <v>11</v>
      </c>
      <c r="O111" s="12">
        <v>12</v>
      </c>
      <c r="P111" s="12">
        <v>13</v>
      </c>
      <c r="Q111" s="12">
        <v>14</v>
      </c>
      <c r="R111" s="12">
        <v>15</v>
      </c>
      <c r="S111" s="12">
        <v>16</v>
      </c>
    </row>
    <row r="112" spans="2:21" x14ac:dyDescent="0.25">
      <c r="B112" s="2" t="s">
        <v>11</v>
      </c>
      <c r="C112" s="2">
        <v>-2800</v>
      </c>
      <c r="D112" s="2">
        <v>0</v>
      </c>
      <c r="E112" s="2">
        <v>0</v>
      </c>
      <c r="F112" s="1">
        <v>0</v>
      </c>
      <c r="G112" s="1">
        <v>0</v>
      </c>
      <c r="H112" s="1">
        <v>0</v>
      </c>
      <c r="I112" s="1">
        <v>0</v>
      </c>
      <c r="J112" s="1">
        <f t="shared" ref="J112:Q112" si="46">+T107</f>
        <v>0</v>
      </c>
      <c r="K112" s="1">
        <f t="shared" si="46"/>
        <v>0</v>
      </c>
      <c r="L112" s="1">
        <f t="shared" si="46"/>
        <v>0</v>
      </c>
      <c r="M112" s="1">
        <f t="shared" si="46"/>
        <v>0</v>
      </c>
      <c r="N112" s="1">
        <f t="shared" si="46"/>
        <v>0</v>
      </c>
      <c r="O112" s="1">
        <f t="shared" si="46"/>
        <v>0</v>
      </c>
      <c r="P112" s="1">
        <f t="shared" si="46"/>
        <v>0</v>
      </c>
      <c r="Q112" s="1">
        <f t="shared" si="46"/>
        <v>0</v>
      </c>
      <c r="R112" s="1"/>
      <c r="S112" s="1">
        <v>200</v>
      </c>
    </row>
    <row r="113" spans="2:19" x14ac:dyDescent="0.25">
      <c r="B113" s="2" t="s">
        <v>9</v>
      </c>
      <c r="C113" s="2">
        <v>0</v>
      </c>
      <c r="D113" s="23">
        <f>+IF(D109&lt;=$U$109,D109*D110,D110*$U$109)</f>
        <v>1000</v>
      </c>
      <c r="E113" s="23">
        <f t="shared" ref="E113:R113" si="47">+IF(E109&lt;=$U$109,E109*E110,E110*$U$109)</f>
        <v>1071</v>
      </c>
      <c r="F113" s="23">
        <f t="shared" si="47"/>
        <v>1147.0409999999999</v>
      </c>
      <c r="G113" s="23">
        <f t="shared" si="47"/>
        <v>1228.4809109999999</v>
      </c>
      <c r="H113" s="23">
        <f t="shared" si="47"/>
        <v>1315.703055681</v>
      </c>
      <c r="I113" s="23">
        <f t="shared" si="47"/>
        <v>1409.1179726343514</v>
      </c>
      <c r="J113" s="23">
        <f t="shared" si="47"/>
        <v>1509.1653486913906</v>
      </c>
      <c r="K113" s="23">
        <f t="shared" si="47"/>
        <v>1616.3160884484791</v>
      </c>
      <c r="L113" s="23">
        <f t="shared" si="47"/>
        <v>1731.0745307283214</v>
      </c>
      <c r="M113" s="23">
        <f t="shared" si="47"/>
        <v>1853.9808224100323</v>
      </c>
      <c r="N113" s="23">
        <f t="shared" si="47"/>
        <v>1950.3910719916116</v>
      </c>
      <c r="O113" s="23">
        <f t="shared" si="47"/>
        <v>1989.3988934314439</v>
      </c>
      <c r="P113" s="23">
        <f t="shared" si="47"/>
        <v>2029.1868713000729</v>
      </c>
      <c r="Q113" s="23">
        <f t="shared" si="47"/>
        <v>2069.770608726074</v>
      </c>
      <c r="R113" s="23">
        <f t="shared" si="47"/>
        <v>2111.1660209005959</v>
      </c>
      <c r="S113" s="23">
        <f t="shared" ref="S113" si="48">+IF(S109&lt;=$U$109,S109*S110,S110*$U$109)</f>
        <v>2153.3893413186079</v>
      </c>
    </row>
    <row r="114" spans="2:19" x14ac:dyDescent="0.25">
      <c r="B114" s="2" t="s">
        <v>8</v>
      </c>
      <c r="C114" s="2">
        <v>0</v>
      </c>
      <c r="D114" s="14">
        <f>-$C$112*10%+35%*D113</f>
        <v>630</v>
      </c>
      <c r="E114" s="14">
        <f t="shared" ref="E114:S114" si="49">-$C$112*10%+35%*E113</f>
        <v>654.84999999999991</v>
      </c>
      <c r="F114" s="14">
        <f t="shared" si="49"/>
        <v>681.46434999999997</v>
      </c>
      <c r="G114" s="14">
        <f t="shared" si="49"/>
        <v>709.96831884999995</v>
      </c>
      <c r="H114" s="14">
        <f t="shared" si="49"/>
        <v>740.49606948835003</v>
      </c>
      <c r="I114" s="14">
        <f t="shared" si="49"/>
        <v>773.19129042202303</v>
      </c>
      <c r="J114" s="14">
        <f t="shared" si="49"/>
        <v>808.20787204198666</v>
      </c>
      <c r="K114" s="14">
        <f t="shared" si="49"/>
        <v>845.71063095696763</v>
      </c>
      <c r="L114" s="14">
        <f t="shared" si="49"/>
        <v>885.87608575491242</v>
      </c>
      <c r="M114" s="14">
        <f t="shared" si="49"/>
        <v>928.8932878435113</v>
      </c>
      <c r="N114" s="14">
        <f t="shared" si="49"/>
        <v>962.636875197064</v>
      </c>
      <c r="O114" s="14">
        <f t="shared" si="49"/>
        <v>976.28961270100535</v>
      </c>
      <c r="P114" s="14">
        <f t="shared" si="49"/>
        <v>990.21540495502552</v>
      </c>
      <c r="Q114" s="14">
        <f t="shared" si="49"/>
        <v>1004.4197130541259</v>
      </c>
      <c r="R114" s="14">
        <f t="shared" si="49"/>
        <v>1018.9081073152086</v>
      </c>
      <c r="S114" s="14">
        <f t="shared" si="49"/>
        <v>1033.6862694615127</v>
      </c>
    </row>
    <row r="115" spans="2:19" x14ac:dyDescent="0.25">
      <c r="B115" s="2" t="s">
        <v>22</v>
      </c>
      <c r="C115" s="2">
        <v>0</v>
      </c>
      <c r="D115" s="1">
        <f>+(-C112)/10</f>
        <v>280</v>
      </c>
      <c r="E115" s="1">
        <f t="shared" ref="E115:M115" si="50">+D115</f>
        <v>280</v>
      </c>
      <c r="F115" s="1">
        <f t="shared" si="50"/>
        <v>280</v>
      </c>
      <c r="G115" s="1">
        <f t="shared" si="50"/>
        <v>280</v>
      </c>
      <c r="H115" s="1">
        <f t="shared" si="50"/>
        <v>280</v>
      </c>
      <c r="I115" s="1">
        <f t="shared" si="50"/>
        <v>280</v>
      </c>
      <c r="J115" s="1">
        <f t="shared" si="50"/>
        <v>280</v>
      </c>
      <c r="K115" s="1">
        <f t="shared" si="50"/>
        <v>280</v>
      </c>
      <c r="L115" s="1">
        <f t="shared" si="50"/>
        <v>280</v>
      </c>
      <c r="M115" s="1">
        <f t="shared" si="50"/>
        <v>280</v>
      </c>
      <c r="N115" s="1"/>
      <c r="O115" s="1"/>
      <c r="P115" s="1"/>
      <c r="Q115" s="1"/>
      <c r="R115" s="1"/>
      <c r="S115" s="1"/>
    </row>
    <row r="116" spans="2:19" x14ac:dyDescent="0.25">
      <c r="B116" s="2" t="s">
        <v>27</v>
      </c>
      <c r="C116" s="2">
        <f t="shared" ref="C116" si="51">+C113-C114-C115</f>
        <v>0</v>
      </c>
      <c r="D116" s="1">
        <f>+D113-D114-D115</f>
        <v>90</v>
      </c>
      <c r="E116" s="1">
        <f t="shared" ref="E116:R116" si="52">+E113-E114-E115</f>
        <v>136.15000000000009</v>
      </c>
      <c r="F116" s="1">
        <f t="shared" si="52"/>
        <v>185.57664999999997</v>
      </c>
      <c r="G116" s="1">
        <f t="shared" si="52"/>
        <v>238.51259214999993</v>
      </c>
      <c r="H116" s="1">
        <f t="shared" si="52"/>
        <v>295.20698619264999</v>
      </c>
      <c r="I116" s="1">
        <f t="shared" si="52"/>
        <v>355.92668221232839</v>
      </c>
      <c r="J116" s="1">
        <f t="shared" si="52"/>
        <v>420.95747664940393</v>
      </c>
      <c r="K116" s="1">
        <f t="shared" si="52"/>
        <v>490.60545749151152</v>
      </c>
      <c r="L116" s="1">
        <f t="shared" si="52"/>
        <v>565.19844497340898</v>
      </c>
      <c r="M116" s="1">
        <f t="shared" si="52"/>
        <v>645.08753456652096</v>
      </c>
      <c r="N116" s="1">
        <f t="shared" si="52"/>
        <v>987.75419679454762</v>
      </c>
      <c r="O116" s="1">
        <f t="shared" si="52"/>
        <v>1013.1092807304385</v>
      </c>
      <c r="P116" s="1">
        <f t="shared" si="52"/>
        <v>1038.9714663450472</v>
      </c>
      <c r="Q116" s="1">
        <f t="shared" si="52"/>
        <v>1065.3508956719481</v>
      </c>
      <c r="R116" s="1">
        <f t="shared" si="52"/>
        <v>1092.2579135853873</v>
      </c>
      <c r="S116" s="1">
        <f t="shared" ref="S116" si="53">+S113-S114-S115</f>
        <v>1119.7030718570952</v>
      </c>
    </row>
    <row r="117" spans="2:19" x14ac:dyDescent="0.25">
      <c r="B117" s="2" t="s">
        <v>21</v>
      </c>
      <c r="C117" s="2">
        <f t="shared" ref="C117:R117" si="54">IF(C116&gt;0,0.3*C116,0)</f>
        <v>0</v>
      </c>
      <c r="D117" s="1">
        <f t="shared" si="54"/>
        <v>27</v>
      </c>
      <c r="E117" s="1">
        <f t="shared" si="54"/>
        <v>40.845000000000027</v>
      </c>
      <c r="F117" s="1">
        <f t="shared" si="54"/>
        <v>55.672994999999993</v>
      </c>
      <c r="G117" s="1">
        <f t="shared" si="54"/>
        <v>71.553777644999982</v>
      </c>
      <c r="H117" s="1">
        <f t="shared" si="54"/>
        <v>88.562095857795001</v>
      </c>
      <c r="I117" s="1">
        <f t="shared" si="54"/>
        <v>106.77800466369851</v>
      </c>
      <c r="J117" s="1">
        <f t="shared" si="54"/>
        <v>126.28724299482117</v>
      </c>
      <c r="K117" s="1">
        <f t="shared" si="54"/>
        <v>147.18163724745344</v>
      </c>
      <c r="L117" s="1">
        <f t="shared" si="54"/>
        <v>169.55953349202269</v>
      </c>
      <c r="M117" s="1">
        <f t="shared" si="54"/>
        <v>193.52626036995628</v>
      </c>
      <c r="N117" s="1">
        <f t="shared" si="54"/>
        <v>296.3262590383643</v>
      </c>
      <c r="O117" s="1">
        <f t="shared" si="54"/>
        <v>303.93278421913152</v>
      </c>
      <c r="P117" s="1">
        <f t="shared" si="54"/>
        <v>311.69143990351415</v>
      </c>
      <c r="Q117" s="1">
        <f t="shared" si="54"/>
        <v>319.60526870158441</v>
      </c>
      <c r="R117" s="1">
        <f t="shared" si="54"/>
        <v>327.67737407561617</v>
      </c>
      <c r="S117" s="1">
        <f t="shared" ref="S117" si="55">IF(S116&gt;0,0.3*S116,0)</f>
        <v>335.91092155712857</v>
      </c>
    </row>
    <row r="118" spans="2:19" x14ac:dyDescent="0.25">
      <c r="B118" s="2" t="s">
        <v>17</v>
      </c>
      <c r="C118" s="2">
        <f t="shared" ref="C118:R118" si="56">+C116-C117</f>
        <v>0</v>
      </c>
      <c r="D118" s="1">
        <f t="shared" si="56"/>
        <v>63</v>
      </c>
      <c r="E118" s="1">
        <f t="shared" si="56"/>
        <v>95.305000000000064</v>
      </c>
      <c r="F118" s="1">
        <f t="shared" si="56"/>
        <v>129.90365499999999</v>
      </c>
      <c r="G118" s="1">
        <f t="shared" si="56"/>
        <v>166.95881450499996</v>
      </c>
      <c r="H118" s="1">
        <f t="shared" si="56"/>
        <v>206.64489033485501</v>
      </c>
      <c r="I118" s="1">
        <f t="shared" si="56"/>
        <v>249.14867754862988</v>
      </c>
      <c r="J118" s="1">
        <f t="shared" si="56"/>
        <v>294.67023365458277</v>
      </c>
      <c r="K118" s="1">
        <f t="shared" si="56"/>
        <v>343.42382024405811</v>
      </c>
      <c r="L118" s="1">
        <f t="shared" si="56"/>
        <v>395.63891148138629</v>
      </c>
      <c r="M118" s="1">
        <f t="shared" si="56"/>
        <v>451.56127419656468</v>
      </c>
      <c r="N118" s="1">
        <f t="shared" si="56"/>
        <v>691.42793775618338</v>
      </c>
      <c r="O118" s="1">
        <f t="shared" si="56"/>
        <v>709.17649651130705</v>
      </c>
      <c r="P118" s="1">
        <f t="shared" si="56"/>
        <v>727.2800264415331</v>
      </c>
      <c r="Q118" s="1">
        <f t="shared" si="56"/>
        <v>745.74562697036367</v>
      </c>
      <c r="R118" s="1">
        <f t="shared" si="56"/>
        <v>764.58053950977114</v>
      </c>
      <c r="S118" s="1">
        <f t="shared" ref="S118" si="57">+S116-S117</f>
        <v>783.79215029996658</v>
      </c>
    </row>
    <row r="119" spans="2:19" x14ac:dyDescent="0.25">
      <c r="B119" s="12" t="s">
        <v>16</v>
      </c>
      <c r="C119" s="12">
        <f>+C112+C118+C115</f>
        <v>-2800</v>
      </c>
      <c r="D119" s="10">
        <f t="shared" ref="D119:Q119" si="58">+D118+D115</f>
        <v>343</v>
      </c>
      <c r="E119" s="10">
        <f t="shared" si="58"/>
        <v>375.30500000000006</v>
      </c>
      <c r="F119" s="10">
        <f t="shared" si="58"/>
        <v>409.90365499999996</v>
      </c>
      <c r="G119" s="10">
        <f t="shared" si="58"/>
        <v>446.95881450499996</v>
      </c>
      <c r="H119" s="10">
        <f t="shared" si="58"/>
        <v>486.64489033485501</v>
      </c>
      <c r="I119" s="10">
        <f t="shared" si="58"/>
        <v>529.14867754862985</v>
      </c>
      <c r="J119" s="10">
        <f t="shared" si="58"/>
        <v>574.67023365458272</v>
      </c>
      <c r="K119" s="10">
        <f t="shared" si="58"/>
        <v>623.42382024405811</v>
      </c>
      <c r="L119" s="10">
        <f t="shared" si="58"/>
        <v>675.63891148138623</v>
      </c>
      <c r="M119" s="10">
        <f t="shared" si="58"/>
        <v>731.56127419656468</v>
      </c>
      <c r="N119" s="10">
        <f t="shared" si="58"/>
        <v>691.42793775618338</v>
      </c>
      <c r="O119" s="10">
        <f t="shared" si="58"/>
        <v>709.17649651130705</v>
      </c>
      <c r="P119" s="10">
        <f t="shared" si="58"/>
        <v>727.2800264415331</v>
      </c>
      <c r="Q119" s="10">
        <f t="shared" si="58"/>
        <v>745.74562697036367</v>
      </c>
      <c r="R119" s="10">
        <f>+R118+R115</f>
        <v>764.58053950977114</v>
      </c>
      <c r="S119" s="10">
        <f>+S118+S115+S112</f>
        <v>983.79215029996658</v>
      </c>
    </row>
    <row r="121" spans="2:19" x14ac:dyDescent="0.25">
      <c r="B121" t="s">
        <v>0</v>
      </c>
      <c r="C121" s="25">
        <f>NPV(F107,D119:S119)</f>
        <v>3596.2921109153235</v>
      </c>
    </row>
    <row r="122" spans="2:19" x14ac:dyDescent="0.25">
      <c r="B122" t="s">
        <v>26</v>
      </c>
      <c r="C122" s="24">
        <f>+C119+C121</f>
        <v>796.29211091532352</v>
      </c>
    </row>
    <row r="123" spans="2:19" x14ac:dyDescent="0.25">
      <c r="B123" t="s">
        <v>96</v>
      </c>
      <c r="C123" s="56">
        <f>+C122/-C119</f>
        <v>0.28439003961261555</v>
      </c>
    </row>
    <row r="127" spans="2:19" x14ac:dyDescent="0.25">
      <c r="B127" s="6" t="s">
        <v>25</v>
      </c>
      <c r="C127" t="s">
        <v>37</v>
      </c>
      <c r="D127" s="3"/>
      <c r="L127">
        <v>-2</v>
      </c>
      <c r="N127">
        <v>-1</v>
      </c>
      <c r="O127">
        <v>0</v>
      </c>
    </row>
    <row r="128" spans="2:19" x14ac:dyDescent="0.25">
      <c r="C128" t="s">
        <v>36</v>
      </c>
      <c r="L128">
        <v>800</v>
      </c>
      <c r="N128">
        <v>200</v>
      </c>
      <c r="O128">
        <v>100</v>
      </c>
    </row>
    <row r="129" spans="3:17" x14ac:dyDescent="0.25">
      <c r="C129" s="2"/>
      <c r="D129" s="2">
        <v>0</v>
      </c>
      <c r="E129" s="2">
        <v>1</v>
      </c>
      <c r="F129" s="2">
        <v>2</v>
      </c>
      <c r="G129" s="2">
        <v>3</v>
      </c>
      <c r="H129" s="2">
        <v>4</v>
      </c>
      <c r="I129" s="16">
        <v>5</v>
      </c>
      <c r="L129" s="20"/>
      <c r="M129" s="20"/>
    </row>
    <row r="130" spans="3:17" x14ac:dyDescent="0.25">
      <c r="C130" s="2" t="s">
        <v>9</v>
      </c>
      <c r="D130" s="2"/>
      <c r="E130" s="2">
        <v>650</v>
      </c>
      <c r="F130" s="2">
        <v>700</v>
      </c>
      <c r="G130" s="2">
        <v>750</v>
      </c>
      <c r="H130" s="2">
        <v>800</v>
      </c>
      <c r="I130" s="16">
        <v>900</v>
      </c>
      <c r="O130">
        <f>+L128*(1+10%)^2</f>
        <v>968.00000000000011</v>
      </c>
    </row>
    <row r="131" spans="3:17" x14ac:dyDescent="0.25">
      <c r="C131" s="2" t="s">
        <v>8</v>
      </c>
      <c r="D131" s="2"/>
      <c r="E131" s="2">
        <v>200</v>
      </c>
      <c r="F131" s="2">
        <v>270</v>
      </c>
      <c r="G131" s="2">
        <v>320</v>
      </c>
      <c r="H131" s="2">
        <v>390</v>
      </c>
      <c r="I131" s="16">
        <v>400</v>
      </c>
      <c r="O131">
        <f>+N128*(1+10%)</f>
        <v>220.00000000000003</v>
      </c>
    </row>
    <row r="132" spans="3:17" x14ac:dyDescent="0.25">
      <c r="C132" s="19" t="s">
        <v>38</v>
      </c>
      <c r="D132" s="18"/>
      <c r="E132" s="18"/>
      <c r="F132" s="18"/>
      <c r="G132" s="18"/>
      <c r="H132" s="18"/>
      <c r="O132">
        <f>+O128</f>
        <v>100</v>
      </c>
    </row>
    <row r="133" spans="3:17" x14ac:dyDescent="0.25">
      <c r="C133" s="19" t="s">
        <v>41</v>
      </c>
      <c r="D133" s="18"/>
      <c r="E133" s="18"/>
      <c r="F133" s="18"/>
      <c r="G133" s="18"/>
      <c r="H133" s="18"/>
      <c r="O133">
        <f>+O130+O131+O132</f>
        <v>1288.0000000000002</v>
      </c>
    </row>
    <row r="134" spans="3:17" x14ac:dyDescent="0.25">
      <c r="C134" s="19" t="s">
        <v>39</v>
      </c>
      <c r="D134" s="18"/>
      <c r="E134" s="18"/>
      <c r="F134" s="18"/>
      <c r="G134" s="18"/>
      <c r="H134" s="18"/>
      <c r="N134" t="s">
        <v>24</v>
      </c>
      <c r="P134">
        <f>-D137</f>
        <v>1288</v>
      </c>
    </row>
    <row r="135" spans="3:17" x14ac:dyDescent="0.25">
      <c r="C135" t="s">
        <v>9</v>
      </c>
      <c r="D135" s="17">
        <v>650</v>
      </c>
      <c r="F135" t="s">
        <v>15</v>
      </c>
      <c r="G135" s="5">
        <v>0.1</v>
      </c>
      <c r="N135" t="s">
        <v>23</v>
      </c>
      <c r="P135">
        <v>0</v>
      </c>
    </row>
    <row r="136" spans="3:17" x14ac:dyDescent="0.25">
      <c r="C136" s="12"/>
      <c r="D136" s="12">
        <v>0</v>
      </c>
      <c r="E136" s="12">
        <v>1</v>
      </c>
      <c r="F136" s="12">
        <v>2</v>
      </c>
      <c r="G136" s="12">
        <v>3</v>
      </c>
      <c r="H136" s="12">
        <v>4</v>
      </c>
      <c r="I136" s="12">
        <v>5</v>
      </c>
      <c r="J136" s="12">
        <v>6</v>
      </c>
      <c r="N136" t="s">
        <v>3</v>
      </c>
      <c r="P136">
        <v>5</v>
      </c>
    </row>
    <row r="137" spans="3:17" x14ac:dyDescent="0.25">
      <c r="C137" s="34" t="s">
        <v>11</v>
      </c>
      <c r="D137" s="34">
        <v>-1288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M137" s="2"/>
      <c r="N137" s="13" t="s">
        <v>14</v>
      </c>
      <c r="O137" s="13"/>
      <c r="P137" s="13" t="s">
        <v>13</v>
      </c>
      <c r="Q137" s="13" t="s">
        <v>12</v>
      </c>
    </row>
    <row r="138" spans="3:17" x14ac:dyDescent="0.25">
      <c r="C138" s="34" t="s">
        <v>10</v>
      </c>
      <c r="D138" s="38">
        <v>800</v>
      </c>
      <c r="E138" s="38">
        <f>+Q148</f>
        <v>0</v>
      </c>
      <c r="F138" s="38">
        <f>+Q149</f>
        <v>148.85043444181619</v>
      </c>
      <c r="G138" s="38">
        <f>+Q150</f>
        <v>159.26996485274333</v>
      </c>
      <c r="H138" s="38">
        <f>+Q151</f>
        <v>170.41886239243536</v>
      </c>
      <c r="I138" s="38">
        <f>+Q152</f>
        <v>182.34818275990585</v>
      </c>
      <c r="J138" s="38">
        <f>+Q153</f>
        <v>195.11255555309927</v>
      </c>
      <c r="M138" s="8">
        <v>0</v>
      </c>
      <c r="N138" s="2">
        <v>0</v>
      </c>
      <c r="O138" s="2"/>
      <c r="P138" s="2">
        <v>0</v>
      </c>
      <c r="Q138" s="2">
        <f>+P134</f>
        <v>1288</v>
      </c>
    </row>
    <row r="139" spans="3:17" x14ac:dyDescent="0.25">
      <c r="C139" s="37" t="s">
        <v>9</v>
      </c>
      <c r="D139" s="37"/>
      <c r="E139" s="39">
        <v>650</v>
      </c>
      <c r="F139" s="39">
        <v>700</v>
      </c>
      <c r="G139" s="39">
        <v>750</v>
      </c>
      <c r="H139" s="39">
        <v>800</v>
      </c>
      <c r="I139" s="39">
        <v>900</v>
      </c>
      <c r="J139" s="39">
        <v>900</v>
      </c>
      <c r="M139" s="8">
        <v>1</v>
      </c>
      <c r="N139" s="2">
        <f>+(P134-P135)/5</f>
        <v>257.60000000000002</v>
      </c>
      <c r="O139" s="2"/>
      <c r="P139" s="2">
        <f>+N139+P138</f>
        <v>257.60000000000002</v>
      </c>
      <c r="Q139" s="2">
        <f>+$Q$138-P139</f>
        <v>1030.4000000000001</v>
      </c>
    </row>
    <row r="140" spans="3:17" x14ac:dyDescent="0.25">
      <c r="C140" s="37" t="s">
        <v>8</v>
      </c>
      <c r="D140" s="37"/>
      <c r="E140" s="37">
        <v>200</v>
      </c>
      <c r="F140" s="37">
        <v>270</v>
      </c>
      <c r="G140" s="37">
        <f>+F140+50</f>
        <v>320</v>
      </c>
      <c r="H140" s="37">
        <v>390</v>
      </c>
      <c r="I140" s="37">
        <v>400</v>
      </c>
      <c r="J140" s="37">
        <v>400</v>
      </c>
      <c r="M140" s="8">
        <v>2</v>
      </c>
      <c r="N140" s="2">
        <f>+N139</f>
        <v>257.60000000000002</v>
      </c>
      <c r="O140" s="2"/>
      <c r="P140" s="2">
        <f>+N140+P139</f>
        <v>515.20000000000005</v>
      </c>
      <c r="Q140" s="2">
        <f>+$Q$138-P140</f>
        <v>772.8</v>
      </c>
    </row>
    <row r="141" spans="3:17" x14ac:dyDescent="0.25">
      <c r="C141" s="37" t="s">
        <v>22</v>
      </c>
      <c r="D141" s="37"/>
      <c r="E141" s="37">
        <f>+N139</f>
        <v>257.60000000000002</v>
      </c>
      <c r="F141" s="37">
        <f>+N140</f>
        <v>257.60000000000002</v>
      </c>
      <c r="G141" s="37">
        <f>+N141</f>
        <v>257.60000000000002</v>
      </c>
      <c r="H141" s="37">
        <f>+N142</f>
        <v>257.60000000000002</v>
      </c>
      <c r="I141" s="37">
        <f>+N143</f>
        <v>257.60000000000002</v>
      </c>
      <c r="J141" s="37">
        <f>+O143</f>
        <v>0</v>
      </c>
      <c r="M141" s="8">
        <v>3</v>
      </c>
      <c r="N141" s="2">
        <f>+N140</f>
        <v>257.60000000000002</v>
      </c>
      <c r="O141" s="2"/>
      <c r="P141" s="2">
        <f>+N141+P140</f>
        <v>772.80000000000007</v>
      </c>
      <c r="Q141" s="2">
        <f>+$Q$138-P141</f>
        <v>515.19999999999993</v>
      </c>
    </row>
    <row r="142" spans="3:17" x14ac:dyDescent="0.25">
      <c r="C142" s="37" t="s">
        <v>7</v>
      </c>
      <c r="D142" s="37"/>
      <c r="E142" s="39">
        <f t="shared" ref="E142:J142" si="59">+E139-E140-E141</f>
        <v>192.39999999999998</v>
      </c>
      <c r="F142" s="39">
        <f t="shared" si="59"/>
        <v>172.39999999999998</v>
      </c>
      <c r="G142" s="39">
        <f t="shared" si="59"/>
        <v>172.39999999999998</v>
      </c>
      <c r="H142" s="39">
        <f t="shared" si="59"/>
        <v>152.39999999999998</v>
      </c>
      <c r="I142" s="39">
        <f t="shared" si="59"/>
        <v>242.39999999999998</v>
      </c>
      <c r="J142" s="39">
        <f t="shared" si="59"/>
        <v>500</v>
      </c>
      <c r="M142" s="8">
        <v>4</v>
      </c>
      <c r="N142" s="2">
        <f>+N141</f>
        <v>257.60000000000002</v>
      </c>
      <c r="O142" s="2"/>
      <c r="P142" s="2">
        <f>+N142+P141</f>
        <v>1030.4000000000001</v>
      </c>
      <c r="Q142" s="2">
        <f>+$Q$138-P142</f>
        <v>257.59999999999991</v>
      </c>
    </row>
    <row r="143" spans="3:17" x14ac:dyDescent="0.25">
      <c r="C143" s="37" t="s">
        <v>4</v>
      </c>
      <c r="D143" s="37"/>
      <c r="E143" s="36">
        <f>+P148</f>
        <v>0</v>
      </c>
      <c r="F143" s="36">
        <f>+P149</f>
        <v>59.920000000000009</v>
      </c>
      <c r="G143" s="36">
        <f>+P150</f>
        <v>49.500469589072871</v>
      </c>
      <c r="H143" s="36">
        <f>+P151</f>
        <v>38.351572049380835</v>
      </c>
      <c r="I143" s="36">
        <f>+P152</f>
        <v>26.42225168191036</v>
      </c>
      <c r="J143" s="36">
        <f>+P153</f>
        <v>13.657878888716947</v>
      </c>
      <c r="M143" s="8">
        <v>5</v>
      </c>
      <c r="N143" s="2">
        <f>+N142</f>
        <v>257.60000000000002</v>
      </c>
      <c r="O143" s="2"/>
      <c r="P143" s="2">
        <f>+N143+P142</f>
        <v>1288</v>
      </c>
      <c r="Q143" s="2">
        <f>+$Q$138-P143</f>
        <v>0</v>
      </c>
    </row>
    <row r="144" spans="3:17" x14ac:dyDescent="0.25">
      <c r="C144" s="37" t="s">
        <v>6</v>
      </c>
      <c r="D144" s="37"/>
      <c r="E144" s="36">
        <f t="shared" ref="E144:J144" si="60">+E142-E143</f>
        <v>192.39999999999998</v>
      </c>
      <c r="F144" s="36">
        <f t="shared" si="60"/>
        <v>112.47999999999996</v>
      </c>
      <c r="G144" s="36">
        <f t="shared" si="60"/>
        <v>122.8995304109271</v>
      </c>
      <c r="H144" s="36">
        <f t="shared" si="60"/>
        <v>114.04842795061914</v>
      </c>
      <c r="I144" s="36">
        <f t="shared" si="60"/>
        <v>215.97774831808962</v>
      </c>
      <c r="J144" s="36">
        <f t="shared" si="60"/>
        <v>486.34212111128306</v>
      </c>
    </row>
    <row r="145" spans="3:18" x14ac:dyDescent="0.25">
      <c r="C145" s="37" t="s">
        <v>21</v>
      </c>
      <c r="D145" s="37"/>
      <c r="E145" s="35">
        <f t="shared" ref="E145:J145" si="61">IF(E144&gt;0,0.3*E144,0)</f>
        <v>57.719999999999992</v>
      </c>
      <c r="F145" s="35">
        <f t="shared" si="61"/>
        <v>33.743999999999986</v>
      </c>
      <c r="G145" s="35">
        <f t="shared" si="61"/>
        <v>36.869859123278125</v>
      </c>
      <c r="H145" s="35">
        <f t="shared" si="61"/>
        <v>34.214528385185744</v>
      </c>
      <c r="I145" s="35">
        <f t="shared" si="61"/>
        <v>64.793324495426887</v>
      </c>
      <c r="J145" s="35">
        <f t="shared" si="61"/>
        <v>145.90263633338492</v>
      </c>
      <c r="M145" t="s">
        <v>5</v>
      </c>
      <c r="N145" s="15">
        <v>7.0000000000000007E-2</v>
      </c>
      <c r="O145" s="41"/>
      <c r="P145">
        <f>+D138</f>
        <v>800</v>
      </c>
    </row>
    <row r="146" spans="3:18" x14ac:dyDescent="0.25">
      <c r="C146" s="2" t="s">
        <v>1</v>
      </c>
      <c r="D146" s="2"/>
      <c r="E146" s="1">
        <f t="shared" ref="E146:J146" si="62">+E144-E145</f>
        <v>134.67999999999998</v>
      </c>
      <c r="F146" s="1">
        <f t="shared" si="62"/>
        <v>78.735999999999976</v>
      </c>
      <c r="G146" s="1">
        <f t="shared" si="62"/>
        <v>86.029671287648966</v>
      </c>
      <c r="H146" s="1">
        <f t="shared" si="62"/>
        <v>79.833899565433398</v>
      </c>
      <c r="I146" s="1">
        <f t="shared" si="62"/>
        <v>151.18442382266272</v>
      </c>
      <c r="J146" s="1">
        <f t="shared" si="62"/>
        <v>340.43948477789814</v>
      </c>
      <c r="M146" s="2"/>
      <c r="N146" s="13" t="s">
        <v>2</v>
      </c>
      <c r="O146" s="13"/>
      <c r="P146" s="13" t="s">
        <v>20</v>
      </c>
      <c r="Q146" s="13" t="s">
        <v>19</v>
      </c>
      <c r="R146" s="13" t="s">
        <v>18</v>
      </c>
    </row>
    <row r="147" spans="3:18" x14ac:dyDescent="0.25">
      <c r="C147" s="12" t="s">
        <v>16</v>
      </c>
      <c r="D147" s="11">
        <f>+D137+D146+D141+D138</f>
        <v>-488</v>
      </c>
      <c r="E147" s="10">
        <f>+E146+E141-E138</f>
        <v>392.28</v>
      </c>
      <c r="F147" s="10">
        <f>+F146+F141-F138</f>
        <v>187.48556555818382</v>
      </c>
      <c r="G147" s="10">
        <f>+G146+G141-G138+G137</f>
        <v>184.35970643490566</v>
      </c>
      <c r="H147" s="10">
        <f>+H146+H141-H138+H137</f>
        <v>167.01503717299806</v>
      </c>
      <c r="I147" s="10">
        <f>+I146+I141-I138+I137</f>
        <v>226.43624106275689</v>
      </c>
      <c r="J147" s="10">
        <f>+J146+J141-J138+J137</f>
        <v>145.32692922479887</v>
      </c>
      <c r="M147" s="8">
        <v>0</v>
      </c>
      <c r="N147" s="2">
        <f>+P145</f>
        <v>800</v>
      </c>
      <c r="O147" s="2"/>
      <c r="P147" s="2"/>
      <c r="Q147" s="2"/>
      <c r="R147" s="2"/>
    </row>
    <row r="148" spans="3:18" x14ac:dyDescent="0.25">
      <c r="M148" s="8">
        <v>1</v>
      </c>
      <c r="N148" s="7">
        <f>+N147*(1+N145)</f>
        <v>856</v>
      </c>
      <c r="O148" s="7"/>
      <c r="P148" s="7"/>
      <c r="Q148" s="7"/>
      <c r="R148" s="4"/>
    </row>
    <row r="149" spans="3:18" x14ac:dyDescent="0.25">
      <c r="C149" t="s">
        <v>40</v>
      </c>
      <c r="D149" s="32">
        <f>NPV(G135,E147:I147)</f>
        <v>904.74971437447323</v>
      </c>
      <c r="M149" s="8">
        <v>2</v>
      </c>
      <c r="N149" s="7">
        <f>+N148-Q149</f>
        <v>707.14956555818378</v>
      </c>
      <c r="O149" s="7"/>
      <c r="P149" s="7">
        <f>+N148*$N$145</f>
        <v>59.920000000000009</v>
      </c>
      <c r="Q149" s="7">
        <f>+R149-P149</f>
        <v>148.85043444181619</v>
      </c>
      <c r="R149" s="14">
        <f>-PMT(N145,5,N148)</f>
        <v>208.77043444181621</v>
      </c>
    </row>
    <row r="150" spans="3:18" x14ac:dyDescent="0.25">
      <c r="C150" t="s">
        <v>101</v>
      </c>
      <c r="D150" s="60">
        <f>+D149+D147</f>
        <v>416.74971437447323</v>
      </c>
      <c r="M150" s="8">
        <v>3</v>
      </c>
      <c r="N150" s="7">
        <f>+N149-Q150</f>
        <v>547.87960070544045</v>
      </c>
      <c r="O150" s="7"/>
      <c r="P150" s="7">
        <f>+N149*$N$145</f>
        <v>49.500469589072871</v>
      </c>
      <c r="Q150" s="7">
        <f>+R150-P150</f>
        <v>159.26996485274333</v>
      </c>
      <c r="R150" s="14">
        <f>+R149</f>
        <v>208.77043444181621</v>
      </c>
    </row>
    <row r="151" spans="3:18" x14ac:dyDescent="0.25">
      <c r="M151" s="8">
        <v>4</v>
      </c>
      <c r="N151" s="7">
        <f>+N150-Q151</f>
        <v>377.46073831300509</v>
      </c>
      <c r="O151" s="7"/>
      <c r="P151" s="7">
        <f>+N150*$N$145</f>
        <v>38.351572049380835</v>
      </c>
      <c r="Q151" s="7">
        <f>+R151-P151</f>
        <v>170.41886239243536</v>
      </c>
      <c r="R151" s="14">
        <f>+R150</f>
        <v>208.77043444181621</v>
      </c>
    </row>
    <row r="152" spans="3:18" x14ac:dyDescent="0.25">
      <c r="M152" s="57">
        <v>5</v>
      </c>
      <c r="N152" s="58">
        <f>+N151-Q152</f>
        <v>195.11255555309924</v>
      </c>
      <c r="O152" s="58"/>
      <c r="P152" s="58">
        <f>+N151*$N$145</f>
        <v>26.42225168191036</v>
      </c>
      <c r="Q152" s="58">
        <f>+R152-P152</f>
        <v>182.34818275990585</v>
      </c>
      <c r="R152" s="59">
        <f>+R151</f>
        <v>208.77043444181621</v>
      </c>
    </row>
    <row r="153" spans="3:18" x14ac:dyDescent="0.25">
      <c r="M153" s="47">
        <v>6</v>
      </c>
      <c r="N153" s="7">
        <f>+N152-Q153</f>
        <v>0</v>
      </c>
      <c r="O153" s="7"/>
      <c r="P153" s="7">
        <f>+N152*$N$145</f>
        <v>13.657878888716947</v>
      </c>
      <c r="Q153" s="7">
        <f>+R153-P153</f>
        <v>195.11255555309927</v>
      </c>
      <c r="R153" s="14">
        <f>+R152</f>
        <v>208.77043444181621</v>
      </c>
    </row>
  </sheetData>
  <mergeCells count="4">
    <mergeCell ref="C20:F20"/>
    <mergeCell ref="C27:F27"/>
    <mergeCell ref="G27:J27"/>
    <mergeCell ref="K27:N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8766-1F9C-4CA8-BF41-7AFD63DAF073}">
  <dimension ref="A2:Q55"/>
  <sheetViews>
    <sheetView topLeftCell="A25" workbookViewId="0">
      <selection activeCell="G56" sqref="G56"/>
    </sheetView>
  </sheetViews>
  <sheetFormatPr baseColWidth="10" defaultRowHeight="15" x14ac:dyDescent="0.25"/>
  <cols>
    <col min="3" max="3" width="13.7109375" customWidth="1"/>
    <col min="4" max="4" width="13.5703125" customWidth="1"/>
  </cols>
  <sheetData>
    <row r="2" spans="1:10" x14ac:dyDescent="0.25">
      <c r="A2" s="64" t="s">
        <v>107</v>
      </c>
    </row>
    <row r="3" spans="1:10" x14ac:dyDescent="0.25">
      <c r="A3" s="64"/>
      <c r="B3" t="s">
        <v>108</v>
      </c>
    </row>
    <row r="4" spans="1:10" x14ac:dyDescent="0.25">
      <c r="A4" s="64"/>
    </row>
    <row r="5" spans="1:10" x14ac:dyDescent="0.25">
      <c r="A5" s="64" t="s">
        <v>106</v>
      </c>
    </row>
    <row r="6" spans="1:10" x14ac:dyDescent="0.25">
      <c r="A6" s="64"/>
      <c r="B6" t="s">
        <v>109</v>
      </c>
    </row>
    <row r="7" spans="1:10" x14ac:dyDescent="0.25">
      <c r="A7" s="64"/>
    </row>
    <row r="8" spans="1:10" x14ac:dyDescent="0.25">
      <c r="A8" s="64"/>
      <c r="B8" s="61" t="s">
        <v>104</v>
      </c>
      <c r="C8" s="61" t="s">
        <v>44</v>
      </c>
      <c r="D8" s="61" t="s">
        <v>45</v>
      </c>
      <c r="E8" s="61" t="s">
        <v>46</v>
      </c>
      <c r="F8" s="61" t="s">
        <v>47</v>
      </c>
      <c r="G8" s="61" t="s">
        <v>105</v>
      </c>
      <c r="H8" s="62"/>
      <c r="I8" s="61" t="s">
        <v>110</v>
      </c>
    </row>
    <row r="9" spans="1:10" x14ac:dyDescent="0.25">
      <c r="A9" s="64"/>
      <c r="B9" s="2" t="s">
        <v>48</v>
      </c>
      <c r="C9" s="2">
        <v>9.1</v>
      </c>
      <c r="D9" s="2">
        <v>10.7</v>
      </c>
      <c r="E9" s="2">
        <v>3.2</v>
      </c>
      <c r="F9" s="2">
        <v>7.5</v>
      </c>
      <c r="G9" s="2">
        <f>SUM(C9:F9)</f>
        <v>30.499999999999996</v>
      </c>
      <c r="I9" s="46">
        <f>1/G9</f>
        <v>3.2786885245901641E-2</v>
      </c>
    </row>
    <row r="10" spans="1:10" x14ac:dyDescent="0.25">
      <c r="A10" s="64"/>
      <c r="B10" s="2" t="s">
        <v>49</v>
      </c>
      <c r="C10" s="2">
        <v>9.6999999999999993</v>
      </c>
      <c r="D10" s="2">
        <v>10.3</v>
      </c>
      <c r="E10" s="2">
        <v>3.8</v>
      </c>
      <c r="F10" s="2">
        <v>7.5</v>
      </c>
      <c r="G10" s="2">
        <f t="shared" ref="G10:G11" si="0">SUM(C10:F10)</f>
        <v>31.3</v>
      </c>
      <c r="I10" s="46">
        <f t="shared" ref="I10:I11" si="1">1/G10</f>
        <v>3.1948881789137379E-2</v>
      </c>
    </row>
    <row r="11" spans="1:10" x14ac:dyDescent="0.25">
      <c r="A11" s="64"/>
      <c r="B11" s="2" t="s">
        <v>50</v>
      </c>
      <c r="C11" s="2">
        <v>8.9</v>
      </c>
      <c r="D11" s="2">
        <v>11.8</v>
      </c>
      <c r="E11" s="2">
        <v>3.9</v>
      </c>
      <c r="F11" s="2">
        <v>7.5</v>
      </c>
      <c r="G11" s="2">
        <f t="shared" si="0"/>
        <v>32.1</v>
      </c>
      <c r="I11" s="46">
        <f t="shared" si="1"/>
        <v>3.1152647975077882E-2</v>
      </c>
    </row>
    <row r="12" spans="1:10" x14ac:dyDescent="0.25">
      <c r="A12" s="64"/>
      <c r="I12" s="46">
        <f ca="1">SUM(I9:I12)</f>
        <v>9.5888415010116912E-2</v>
      </c>
      <c r="J12" t="s">
        <v>111</v>
      </c>
    </row>
    <row r="13" spans="1:10" x14ac:dyDescent="0.25">
      <c r="A13" s="64"/>
    </row>
    <row r="14" spans="1:10" x14ac:dyDescent="0.25">
      <c r="A14" s="64"/>
      <c r="B14" s="61" t="s">
        <v>104</v>
      </c>
      <c r="C14" s="61" t="s">
        <v>61</v>
      </c>
    </row>
    <row r="15" spans="1:10" x14ac:dyDescent="0.25">
      <c r="A15" s="64"/>
      <c r="B15" s="2" t="s">
        <v>48</v>
      </c>
      <c r="C15" s="46">
        <f ca="1">+I9/$I$12</f>
        <v>0.34192749189192867</v>
      </c>
    </row>
    <row r="16" spans="1:10" x14ac:dyDescent="0.25">
      <c r="A16" s="64"/>
      <c r="B16" s="2" t="s">
        <v>49</v>
      </c>
      <c r="C16" s="46">
        <f ca="1">+I10/$I$12</f>
        <v>0.33318813107679945</v>
      </c>
    </row>
    <row r="17" spans="1:17" x14ac:dyDescent="0.25">
      <c r="A17" s="64"/>
      <c r="B17" s="2" t="s">
        <v>50</v>
      </c>
      <c r="C17" s="46">
        <f ca="1">+I11/$I$12</f>
        <v>0.32488437703127176</v>
      </c>
    </row>
    <row r="18" spans="1:17" x14ac:dyDescent="0.25">
      <c r="A18" s="64"/>
      <c r="C18" s="63">
        <f ca="1">SUM(C15:C18)</f>
        <v>0.99999999999999978</v>
      </c>
      <c r="D18" t="s">
        <v>111</v>
      </c>
    </row>
    <row r="19" spans="1:17" x14ac:dyDescent="0.25">
      <c r="A19" s="64"/>
    </row>
    <row r="20" spans="1:17" x14ac:dyDescent="0.25">
      <c r="A20" s="64" t="s">
        <v>112</v>
      </c>
    </row>
    <row r="21" spans="1:17" x14ac:dyDescent="0.25">
      <c r="B21" t="s">
        <v>113</v>
      </c>
    </row>
    <row r="23" spans="1:17" x14ac:dyDescent="0.25">
      <c r="B23" s="95" t="s">
        <v>115</v>
      </c>
      <c r="C23" s="87" t="s">
        <v>65</v>
      </c>
      <c r="D23" s="87"/>
      <c r="E23" s="87"/>
      <c r="F23" s="97" t="s">
        <v>118</v>
      </c>
      <c r="G23" s="95" t="s">
        <v>114</v>
      </c>
    </row>
    <row r="24" spans="1:17" x14ac:dyDescent="0.25">
      <c r="B24" s="96"/>
      <c r="C24" s="65">
        <v>1</v>
      </c>
      <c r="D24" s="65">
        <v>2</v>
      </c>
      <c r="E24" s="65">
        <v>3</v>
      </c>
      <c r="F24" s="96"/>
      <c r="G24" s="96"/>
    </row>
    <row r="25" spans="1:17" x14ac:dyDescent="0.25">
      <c r="B25" s="2" t="s">
        <v>66</v>
      </c>
      <c r="C25" s="2">
        <v>1</v>
      </c>
      <c r="D25" s="2">
        <v>1</v>
      </c>
      <c r="E25" s="2"/>
      <c r="F25" s="2">
        <f>SUM(C25:E25)</f>
        <v>2</v>
      </c>
      <c r="G25" s="2">
        <f>+F25/$F$28</f>
        <v>0.5</v>
      </c>
    </row>
    <row r="26" spans="1:17" x14ac:dyDescent="0.25">
      <c r="B26" s="2" t="s">
        <v>116</v>
      </c>
      <c r="C26" s="2">
        <v>0</v>
      </c>
      <c r="D26" s="2"/>
      <c r="E26" s="2">
        <v>1</v>
      </c>
      <c r="F26" s="2">
        <f t="shared" ref="F26:F27" si="2">SUM(C26:E26)</f>
        <v>1</v>
      </c>
      <c r="G26" s="2">
        <f t="shared" ref="G26:G27" si="3">+F26/$F$28</f>
        <v>0.25</v>
      </c>
    </row>
    <row r="27" spans="1:17" x14ac:dyDescent="0.25">
      <c r="B27" s="2" t="s">
        <v>117</v>
      </c>
      <c r="C27" s="2"/>
      <c r="D27" s="2">
        <v>0</v>
      </c>
      <c r="E27" s="2">
        <v>1</v>
      </c>
      <c r="F27" s="2">
        <f t="shared" si="2"/>
        <v>1</v>
      </c>
      <c r="G27" s="2">
        <f t="shared" si="3"/>
        <v>0.25</v>
      </c>
    </row>
    <row r="28" spans="1:17" x14ac:dyDescent="0.25">
      <c r="F28">
        <f>SUM(F25:F27)</f>
        <v>4</v>
      </c>
    </row>
    <row r="29" spans="1:17" ht="15.75" thickBot="1" x14ac:dyDescent="0.3"/>
    <row r="30" spans="1:17" x14ac:dyDescent="0.25">
      <c r="C30" s="88" t="s">
        <v>66</v>
      </c>
      <c r="D30" s="89"/>
      <c r="E30" s="89"/>
      <c r="F30" s="89"/>
      <c r="G30" s="90"/>
      <c r="H30" s="88" t="s">
        <v>116</v>
      </c>
      <c r="I30" s="89"/>
      <c r="J30" s="89"/>
      <c r="K30" s="89"/>
      <c r="L30" s="90"/>
      <c r="M30" s="88" t="s">
        <v>117</v>
      </c>
      <c r="N30" s="89"/>
      <c r="O30" s="89"/>
      <c r="P30" s="89"/>
      <c r="Q30" s="90"/>
    </row>
    <row r="31" spans="1:17" x14ac:dyDescent="0.25">
      <c r="C31" s="67"/>
      <c r="D31" s="18"/>
      <c r="E31" s="18"/>
      <c r="F31" s="18"/>
      <c r="G31" s="68"/>
      <c r="H31" s="67"/>
      <c r="I31" s="18"/>
      <c r="J31" s="18"/>
      <c r="K31" s="18"/>
      <c r="L31" s="68"/>
      <c r="M31" s="67"/>
      <c r="N31" s="18"/>
      <c r="O31" s="18"/>
      <c r="P31" s="18"/>
      <c r="Q31" s="68"/>
    </row>
    <row r="32" spans="1:17" x14ac:dyDescent="0.25">
      <c r="C32" s="86" t="s">
        <v>65</v>
      </c>
      <c r="D32" s="87"/>
      <c r="E32" s="87"/>
      <c r="F32" s="18"/>
      <c r="G32" s="68"/>
      <c r="H32" s="86" t="s">
        <v>65</v>
      </c>
      <c r="I32" s="87"/>
      <c r="J32" s="87"/>
      <c r="K32" s="18"/>
      <c r="L32" s="68"/>
      <c r="M32" s="86" t="s">
        <v>65</v>
      </c>
      <c r="N32" s="87"/>
      <c r="O32" s="87"/>
      <c r="P32" s="18"/>
      <c r="Q32" s="68"/>
    </row>
    <row r="33" spans="2:17" x14ac:dyDescent="0.25">
      <c r="B33" s="66"/>
      <c r="C33" s="74">
        <v>1</v>
      </c>
      <c r="D33" s="12">
        <v>2</v>
      </c>
      <c r="E33" s="12">
        <v>3</v>
      </c>
      <c r="F33" s="2" t="s">
        <v>119</v>
      </c>
      <c r="G33" s="70" t="s">
        <v>120</v>
      </c>
      <c r="H33" s="74">
        <v>1</v>
      </c>
      <c r="I33" s="12">
        <v>2</v>
      </c>
      <c r="J33" s="12">
        <v>3</v>
      </c>
      <c r="K33" s="2" t="s">
        <v>119</v>
      </c>
      <c r="L33" s="70" t="s">
        <v>120</v>
      </c>
      <c r="M33" s="74">
        <v>1</v>
      </c>
      <c r="N33" s="12">
        <v>2</v>
      </c>
      <c r="O33" s="12">
        <v>3</v>
      </c>
      <c r="P33" s="2" t="s">
        <v>119</v>
      </c>
      <c r="Q33" s="70" t="s">
        <v>120</v>
      </c>
    </row>
    <row r="34" spans="2:17" x14ac:dyDescent="0.25">
      <c r="B34" s="66" t="s">
        <v>48</v>
      </c>
      <c r="C34" s="69">
        <v>1</v>
      </c>
      <c r="D34" s="2">
        <v>1</v>
      </c>
      <c r="E34" s="2"/>
      <c r="F34" s="2">
        <f>SUM(C34:E34)</f>
        <v>2</v>
      </c>
      <c r="G34" s="70">
        <f>+F34/$F$37</f>
        <v>0.5</v>
      </c>
      <c r="H34" s="69">
        <v>0</v>
      </c>
      <c r="I34" s="2">
        <v>0</v>
      </c>
      <c r="J34" s="2"/>
      <c r="K34" s="2">
        <f>SUM(H34:J34)</f>
        <v>0</v>
      </c>
      <c r="L34" s="70">
        <f>+K34/$K$37</f>
        <v>0</v>
      </c>
      <c r="M34" s="69">
        <v>0</v>
      </c>
      <c r="N34" s="2">
        <v>0</v>
      </c>
      <c r="O34" s="2"/>
      <c r="P34" s="2">
        <f>SUM(M34:O34)</f>
        <v>0</v>
      </c>
      <c r="Q34" s="70">
        <f>+P34/$P$37</f>
        <v>0</v>
      </c>
    </row>
    <row r="35" spans="2:17" x14ac:dyDescent="0.25">
      <c r="B35" s="66" t="s">
        <v>49</v>
      </c>
      <c r="C35" s="69">
        <v>1</v>
      </c>
      <c r="D35" s="2"/>
      <c r="E35" s="2">
        <v>1</v>
      </c>
      <c r="F35" s="2">
        <f t="shared" ref="F35:F36" si="4">SUM(C35:E35)</f>
        <v>2</v>
      </c>
      <c r="G35" s="70">
        <f t="shared" ref="G35:G36" si="5">+F35/$F$37</f>
        <v>0.5</v>
      </c>
      <c r="H35" s="69">
        <v>1</v>
      </c>
      <c r="I35" s="2"/>
      <c r="J35" s="2">
        <v>1</v>
      </c>
      <c r="K35" s="2">
        <f t="shared" ref="K35:K36" si="6">SUM(H35:J35)</f>
        <v>2</v>
      </c>
      <c r="L35" s="70">
        <f t="shared" ref="L35:L36" si="7">+K35/$K$37</f>
        <v>0.5</v>
      </c>
      <c r="M35" s="69">
        <v>1</v>
      </c>
      <c r="N35" s="2"/>
      <c r="O35" s="2">
        <v>0</v>
      </c>
      <c r="P35" s="2">
        <f t="shared" ref="P35:P36" si="8">SUM(M35:O35)</f>
        <v>1</v>
      </c>
      <c r="Q35" s="75">
        <f t="shared" ref="Q35:Q36" si="9">+P35/$P$37</f>
        <v>0.33333333333333331</v>
      </c>
    </row>
    <row r="36" spans="2:17" ht="15.75" thickBot="1" x14ac:dyDescent="0.3">
      <c r="B36" s="66" t="s">
        <v>50</v>
      </c>
      <c r="C36" s="71"/>
      <c r="D36" s="72">
        <v>0</v>
      </c>
      <c r="E36" s="72">
        <v>0</v>
      </c>
      <c r="F36" s="72">
        <f t="shared" si="4"/>
        <v>0</v>
      </c>
      <c r="G36" s="73">
        <f t="shared" si="5"/>
        <v>0</v>
      </c>
      <c r="H36" s="71"/>
      <c r="I36" s="72">
        <v>1</v>
      </c>
      <c r="J36" s="72">
        <v>1</v>
      </c>
      <c r="K36" s="72">
        <f t="shared" si="6"/>
        <v>2</v>
      </c>
      <c r="L36" s="73">
        <f t="shared" si="7"/>
        <v>0.5</v>
      </c>
      <c r="M36" s="71"/>
      <c r="N36" s="72">
        <v>1</v>
      </c>
      <c r="O36" s="72">
        <v>1</v>
      </c>
      <c r="P36" s="72">
        <f t="shared" si="8"/>
        <v>2</v>
      </c>
      <c r="Q36" s="76">
        <f t="shared" si="9"/>
        <v>0.66666666666666663</v>
      </c>
    </row>
    <row r="37" spans="2:17" x14ac:dyDescent="0.25">
      <c r="F37">
        <f>SUM(F34:F36)</f>
        <v>4</v>
      </c>
      <c r="K37">
        <f>SUM(K34:K36)</f>
        <v>4</v>
      </c>
      <c r="P37">
        <f>SUM(P34:P36)</f>
        <v>3</v>
      </c>
    </row>
    <row r="38" spans="2:17" ht="15.75" thickBot="1" x14ac:dyDescent="0.3"/>
    <row r="39" spans="2:17" x14ac:dyDescent="0.25">
      <c r="C39" s="91" t="s">
        <v>121</v>
      </c>
      <c r="D39" s="92"/>
      <c r="E39" s="92"/>
      <c r="F39" s="93" t="s">
        <v>114</v>
      </c>
    </row>
    <row r="40" spans="2:17" x14ac:dyDescent="0.25">
      <c r="B40" s="66"/>
      <c r="C40" s="74" t="s">
        <v>48</v>
      </c>
      <c r="D40" s="12" t="s">
        <v>49</v>
      </c>
      <c r="E40" s="81" t="s">
        <v>50</v>
      </c>
      <c r="F40" s="94"/>
    </row>
    <row r="41" spans="2:17" x14ac:dyDescent="0.25">
      <c r="B41" s="66" t="s">
        <v>66</v>
      </c>
      <c r="C41" s="69">
        <f>+G34</f>
        <v>0.5</v>
      </c>
      <c r="D41" s="2">
        <f>+G35</f>
        <v>0.5</v>
      </c>
      <c r="E41" s="66">
        <f>+G36</f>
        <v>0</v>
      </c>
      <c r="F41" s="79">
        <f>+G25</f>
        <v>0.5</v>
      </c>
    </row>
    <row r="42" spans="2:17" x14ac:dyDescent="0.25">
      <c r="B42" s="66" t="s">
        <v>116</v>
      </c>
      <c r="C42" s="69">
        <f>+L34</f>
        <v>0</v>
      </c>
      <c r="D42" s="2">
        <f>+L35</f>
        <v>0.5</v>
      </c>
      <c r="E42" s="66">
        <f>+L36</f>
        <v>0.5</v>
      </c>
      <c r="F42" s="79">
        <f>+G26</f>
        <v>0.25</v>
      </c>
    </row>
    <row r="43" spans="2:17" ht="15.75" thickBot="1" x14ac:dyDescent="0.3">
      <c r="B43" s="66" t="s">
        <v>117</v>
      </c>
      <c r="C43" s="71">
        <f>+Q34</f>
        <v>0</v>
      </c>
      <c r="D43" s="77">
        <f>+Q35</f>
        <v>0.33333333333333331</v>
      </c>
      <c r="E43" s="78">
        <f>+Q36</f>
        <v>0.66666666666666663</v>
      </c>
      <c r="F43" s="80">
        <f>+G27</f>
        <v>0.25</v>
      </c>
    </row>
    <row r="45" spans="2:17" x14ac:dyDescent="0.25">
      <c r="C45" s="12"/>
      <c r="D45" s="12" t="s">
        <v>74</v>
      </c>
      <c r="F45" s="12" t="str">
        <f>+C14</f>
        <v>FO</v>
      </c>
    </row>
    <row r="46" spans="2:17" x14ac:dyDescent="0.25">
      <c r="C46" s="2" t="s">
        <v>48</v>
      </c>
      <c r="D46" s="22">
        <f>+C41*F41+C42*F42+C43*F43</f>
        <v>0.25</v>
      </c>
      <c r="F46" s="22">
        <f ca="1">+C15</f>
        <v>0.34192749189192867</v>
      </c>
    </row>
    <row r="47" spans="2:17" x14ac:dyDescent="0.25">
      <c r="C47" s="2" t="s">
        <v>49</v>
      </c>
      <c r="D47" s="22">
        <f>+D41*F41+D42*F42+D43*F43</f>
        <v>0.45833333333333331</v>
      </c>
      <c r="F47" s="22">
        <f ca="1">+C16</f>
        <v>0.33318813107679945</v>
      </c>
    </row>
    <row r="48" spans="2:17" x14ac:dyDescent="0.25">
      <c r="C48" s="2" t="s">
        <v>50</v>
      </c>
      <c r="D48" s="22">
        <f>+E41*F41+E42*F42+E43*F43</f>
        <v>0.29166666666666663</v>
      </c>
      <c r="F48" s="22">
        <f ca="1">+C17</f>
        <v>0.32488437703127176</v>
      </c>
    </row>
    <row r="50" spans="1:8" x14ac:dyDescent="0.25">
      <c r="A50" t="s">
        <v>122</v>
      </c>
    </row>
    <row r="52" spans="1:8" x14ac:dyDescent="0.25">
      <c r="C52" s="12"/>
      <c r="D52" s="12" t="s">
        <v>123</v>
      </c>
      <c r="G52" s="82" t="s">
        <v>124</v>
      </c>
      <c r="H52">
        <v>0.75</v>
      </c>
    </row>
    <row r="53" spans="1:8" x14ac:dyDescent="0.25">
      <c r="C53" s="2" t="s">
        <v>48</v>
      </c>
      <c r="D53" s="22">
        <f ca="1">+$H$52*F46+$H$53*D46</f>
        <v>0.31894561891894652</v>
      </c>
      <c r="G53" t="s">
        <v>125</v>
      </c>
      <c r="H53">
        <f>1-H52</f>
        <v>0.25</v>
      </c>
    </row>
    <row r="54" spans="1:8" x14ac:dyDescent="0.25">
      <c r="C54" s="2" t="s">
        <v>49</v>
      </c>
      <c r="D54" s="83">
        <f ca="1">+$H$52*F47+$H$53*D47</f>
        <v>0.36447443164093291</v>
      </c>
    </row>
    <row r="55" spans="1:8" x14ac:dyDescent="0.25">
      <c r="C55" s="2" t="s">
        <v>50</v>
      </c>
      <c r="D55" s="22">
        <f ca="1">+$H$52*F48+$H$53*D48</f>
        <v>0.31657994944012047</v>
      </c>
    </row>
  </sheetData>
  <mergeCells count="12">
    <mergeCell ref="C23:E23"/>
    <mergeCell ref="G23:G24"/>
    <mergeCell ref="B23:B24"/>
    <mergeCell ref="F23:F24"/>
    <mergeCell ref="C32:E32"/>
    <mergeCell ref="M32:O32"/>
    <mergeCell ref="C30:G30"/>
    <mergeCell ref="H30:L30"/>
    <mergeCell ref="M30:Q30"/>
    <mergeCell ref="C39:E39"/>
    <mergeCell ref="F39:F40"/>
    <mergeCell ref="H32:J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2023_II M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Salvador Jacome</dc:creator>
  <cp:lastModifiedBy>Julio Salvador Jacome</cp:lastModifiedBy>
  <cp:lastPrinted>2022-08-24T01:02:32Z</cp:lastPrinted>
  <dcterms:created xsi:type="dcterms:W3CDTF">2021-07-18T13:32:01Z</dcterms:created>
  <dcterms:modified xsi:type="dcterms:W3CDTF">2024-05-24T18:12:56Z</dcterms:modified>
</cp:coreProperties>
</file>