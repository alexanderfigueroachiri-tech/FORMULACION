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UNI\Ingenieria economica\Sesiones\Sesion 6 . Flujo de fondos\"/>
    </mc:Choice>
  </mc:AlternateContent>
  <bookViews>
    <workbookView xWindow="0" yWindow="0" windowWidth="14415" windowHeight="8205" activeTab="1"/>
  </bookViews>
  <sheets>
    <sheet name="Enunciado" sheetId="3" r:id="rId1"/>
    <sheet name="FCE" sheetId="1" r:id="rId2"/>
    <sheet name="FCEF" sheetId="4" r:id="rId3"/>
    <sheet name="Tasas" sheetId="5" r:id="rId4"/>
    <sheet name="Empresas reguladas" sheetId="6" r:id="rId5"/>
  </sheets>
  <calcPr calcId="162913"/>
</workbook>
</file>

<file path=xl/calcChain.xml><?xml version="1.0" encoding="utf-8"?>
<calcChain xmlns="http://schemas.openxmlformats.org/spreadsheetml/2006/main">
  <c r="C16" i="4" l="1"/>
  <c r="I3" i="4"/>
  <c r="K9" i="4" s="1"/>
  <c r="I6" i="4" l="1"/>
  <c r="J3" i="4"/>
  <c r="C2" i="1"/>
  <c r="D8" i="5"/>
  <c r="D10" i="5"/>
  <c r="E6" i="1"/>
  <c r="F6" i="1"/>
  <c r="D6" i="1"/>
  <c r="C14" i="1"/>
  <c r="E7" i="4"/>
  <c r="E9" i="4" s="1"/>
  <c r="F7" i="4"/>
  <c r="F9" i="4" s="1"/>
  <c r="D7" i="4"/>
  <c r="D9" i="4" s="1"/>
  <c r="J6" i="1"/>
  <c r="D8" i="1" s="1"/>
  <c r="J7" i="4" l="1"/>
  <c r="C14" i="6"/>
  <c r="D14" i="6"/>
  <c r="B14" i="6"/>
  <c r="C11" i="6"/>
  <c r="D11" i="6"/>
  <c r="B11" i="6"/>
  <c r="C8" i="6"/>
  <c r="D8" i="6"/>
  <c r="B8" i="6"/>
  <c r="L7" i="4" l="1"/>
  <c r="J8" i="4"/>
  <c r="D12" i="4"/>
  <c r="D6" i="4"/>
  <c r="D14" i="5"/>
  <c r="L8" i="4" l="1"/>
  <c r="J9" i="4"/>
  <c r="L9" i="4" s="1"/>
  <c r="E12" i="4"/>
  <c r="D13" i="5"/>
  <c r="D12" i="5" s="1"/>
  <c r="E6" i="4" l="1"/>
  <c r="J14" i="4" l="1"/>
  <c r="D10" i="4" s="1"/>
  <c r="D11" i="4" s="1"/>
  <c r="D13" i="4" s="1"/>
  <c r="D14" i="4" s="1"/>
  <c r="D15" i="4" s="1"/>
  <c r="D16" i="4" s="1"/>
  <c r="D18" i="4" s="1"/>
  <c r="F12" i="4" l="1"/>
  <c r="J15" i="4"/>
  <c r="J16" i="4" l="1"/>
  <c r="F10" i="4" s="1"/>
  <c r="F11" i="4" s="1"/>
  <c r="E10" i="4"/>
  <c r="E11" i="4" s="1"/>
  <c r="E13" i="4" s="1"/>
  <c r="E14" i="4" s="1"/>
  <c r="E15" i="4" s="1"/>
  <c r="E16" i="4" s="1"/>
  <c r="F13" i="4"/>
  <c r="F14" i="4"/>
  <c r="F15" i="4" s="1"/>
  <c r="F6" i="4"/>
  <c r="K14" i="4"/>
  <c r="L14" i="4" s="1"/>
  <c r="F16" i="4" l="1"/>
  <c r="K15" i="4"/>
  <c r="K16" i="4" s="1"/>
  <c r="L16" i="4" s="1"/>
  <c r="L15" i="4" l="1"/>
  <c r="E18" i="4" l="1"/>
  <c r="F18" i="4" l="1"/>
  <c r="C18" i="4" s="1"/>
  <c r="J7" i="1"/>
  <c r="E8" i="1" s="1"/>
  <c r="E9" i="1" s="1"/>
  <c r="E11" i="1" s="1"/>
  <c r="E12" i="1" l="1"/>
  <c r="E13" i="1" s="1"/>
  <c r="E14" i="1" s="1"/>
  <c r="E16" i="1" s="1"/>
  <c r="J8" i="1"/>
  <c r="F8" i="1" s="1"/>
  <c r="F9" i="1" s="1"/>
  <c r="F11" i="1" s="1"/>
  <c r="F12" i="1" s="1"/>
  <c r="F13" i="1" s="1"/>
  <c r="C19" i="4"/>
  <c r="C20" i="4" s="1"/>
  <c r="K6" i="1"/>
  <c r="L6" i="1" s="1"/>
  <c r="F14" i="1" l="1"/>
  <c r="F16" i="1" s="1"/>
  <c r="K7" i="1"/>
  <c r="L7" i="1" s="1"/>
  <c r="K8" i="1"/>
  <c r="L8" i="1" s="1"/>
  <c r="D9" i="1" l="1"/>
  <c r="D11" i="1" s="1"/>
  <c r="D12" i="1" l="1"/>
  <c r="D13" i="1" s="1"/>
  <c r="D14" i="1" s="1"/>
  <c r="D16" i="1" s="1"/>
  <c r="C16" i="1" s="1"/>
  <c r="C17" i="1" s="1"/>
  <c r="C18" i="1" s="1"/>
</calcChain>
</file>

<file path=xl/sharedStrings.xml><?xml version="1.0" encoding="utf-8"?>
<sst xmlns="http://schemas.openxmlformats.org/spreadsheetml/2006/main" count="117" uniqueCount="79">
  <si>
    <t>Ingresos</t>
  </si>
  <si>
    <t>Inversion</t>
  </si>
  <si>
    <t>Periodo</t>
  </si>
  <si>
    <t>Egresos</t>
  </si>
  <si>
    <t>Depreciación</t>
  </si>
  <si>
    <t>UAII</t>
  </si>
  <si>
    <t>I</t>
  </si>
  <si>
    <t xml:space="preserve">UAI </t>
  </si>
  <si>
    <t>UN</t>
  </si>
  <si>
    <t>f</t>
  </si>
  <si>
    <t>Vaf</t>
  </si>
  <si>
    <t>Capital</t>
  </si>
  <si>
    <t>Interes</t>
  </si>
  <si>
    <t>amortiz</t>
  </si>
  <si>
    <t>Cuota</t>
  </si>
  <si>
    <t>Prestamo</t>
  </si>
  <si>
    <t>flujo de depreciacion</t>
  </si>
  <si>
    <t>d</t>
  </si>
  <si>
    <t>D</t>
  </si>
  <si>
    <t>V</t>
  </si>
  <si>
    <t>rentabilidad</t>
  </si>
  <si>
    <t>Ing-egr</t>
  </si>
  <si>
    <t>Flujo económico financiero (incluye préstamo)</t>
  </si>
  <si>
    <t>Flujo económico (solo capital propio)</t>
  </si>
  <si>
    <t>Supongase un proyecto cuya inversion es 1240 y cuyo valor residual al cabo de tres años que dura el proyecto es 40</t>
  </si>
  <si>
    <t>Los ingresos que genera el proyecto en tres escenarios (pesimista, medio y optimista) son</t>
  </si>
  <si>
    <t>Pesimista</t>
  </si>
  <si>
    <t>Medio</t>
  </si>
  <si>
    <t>Optimista</t>
  </si>
  <si>
    <t>Los egresos son:</t>
  </si>
  <si>
    <t>Año</t>
  </si>
  <si>
    <t>Asimismo elabore el flujo de caja económico financiero, considerando</t>
  </si>
  <si>
    <t>que toma un crédito de 1000 a una tasa del 10.5% en tres años</t>
  </si>
  <si>
    <t>Considerando un tipo de depreciación lineal, elabore el flujo de caja económico del proyecto.</t>
  </si>
  <si>
    <t>Flujo del prestamo</t>
  </si>
  <si>
    <t>k</t>
  </si>
  <si>
    <t>Tasa libre de riesgo</t>
  </si>
  <si>
    <t>Rf</t>
  </si>
  <si>
    <t>Prima de mercado</t>
  </si>
  <si>
    <t>(Rm-Rf)</t>
  </si>
  <si>
    <t>Beta</t>
  </si>
  <si>
    <t>β</t>
  </si>
  <si>
    <t>Riesgo país</t>
  </si>
  <si>
    <t>Tasa impositiva a la renta</t>
  </si>
  <si>
    <t>t</t>
  </si>
  <si>
    <t>Costo de capital propio</t>
  </si>
  <si>
    <t>rp</t>
  </si>
  <si>
    <t>Costo de la deuda (kd)</t>
  </si>
  <si>
    <t>Peso deuda</t>
  </si>
  <si>
    <t>Peso capital propio</t>
  </si>
  <si>
    <t>we</t>
  </si>
  <si>
    <t>wd</t>
  </si>
  <si>
    <t>Costo ponderado de capital</t>
  </si>
  <si>
    <t>WACC</t>
  </si>
  <si>
    <t>Tasa activa del mercado</t>
  </si>
  <si>
    <t xml:space="preserve"> i (1-t)</t>
  </si>
  <si>
    <t xml:space="preserve"> i</t>
  </si>
  <si>
    <t>Ke</t>
  </si>
  <si>
    <t>Tasa de actualización</t>
  </si>
  <si>
    <t>CAPM empresas de servicios (reguladas)</t>
  </si>
  <si>
    <t>Prima riesgo de mercado</t>
  </si>
  <si>
    <t>Tasa interes</t>
  </si>
  <si>
    <t>T</t>
  </si>
  <si>
    <t>Costo capital propio</t>
  </si>
  <si>
    <t>Costo de la deuda</t>
  </si>
  <si>
    <t>Ositran (2007)</t>
  </si>
  <si>
    <t>Osiptel (2010)</t>
  </si>
  <si>
    <t>Sunass(2010)</t>
  </si>
  <si>
    <t>LAP</t>
  </si>
  <si>
    <t>Telefonica</t>
  </si>
  <si>
    <t>Sedapal</t>
  </si>
  <si>
    <t>Fuente: Davila (2012)</t>
  </si>
  <si>
    <t>Tasas utilizadas por reguladores económicos en sus fijaciones tarifarias</t>
  </si>
  <si>
    <t>N°</t>
  </si>
  <si>
    <t>I (30% UAI)</t>
  </si>
  <si>
    <t>Vaf -I</t>
  </si>
  <si>
    <r>
      <t xml:space="preserve">ke = Rf + 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 xml:space="preserve"> (Rm-Rf) + rp</t>
    </r>
  </si>
  <si>
    <t>Intereses</t>
  </si>
  <si>
    <t>Vaf -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</si>
</sst>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0.0"/>
    <numFmt numFmtId="166" formatCode="#,##0.0_ ;[Red]\-#,##0.0\ "/>
    <numFmt numFmtId="167" formatCode="0.0%"/>
    <numFmt numFmtId="168" formatCode="0.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0" xfId="0" applyNumberFormat="1"/>
    <xf numFmtId="165" fontId="0" fillId="0" borderId="0" xfId="0" applyNumberFormat="1"/>
    <xf numFmtId="0" fontId="0" fillId="3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5" fontId="0" fillId="3" borderId="1" xfId="0" applyNumberFormat="1" applyFill="1" applyBorder="1"/>
    <xf numFmtId="0" fontId="0" fillId="3" borderId="0" xfId="0" applyFill="1" applyBorder="1"/>
    <xf numFmtId="0" fontId="1" fillId="0" borderId="0" xfId="0" applyFont="1"/>
    <xf numFmtId="167" fontId="0" fillId="0" borderId="0" xfId="1" applyNumberFormat="1" applyFont="1"/>
    <xf numFmtId="0" fontId="0" fillId="5" borderId="1" xfId="0" applyFill="1" applyBorder="1"/>
    <xf numFmtId="167" fontId="0" fillId="0" borderId="0" xfId="0" applyNumberFormat="1"/>
    <xf numFmtId="165" fontId="0" fillId="5" borderId="1" xfId="0" applyNumberFormat="1" applyFill="1" applyBorder="1"/>
    <xf numFmtId="166" fontId="0" fillId="5" borderId="1" xfId="0" applyNumberFormat="1" applyFill="1" applyBorder="1"/>
    <xf numFmtId="10" fontId="0" fillId="0" borderId="0" xfId="0" applyNumberFormat="1"/>
    <xf numFmtId="165" fontId="0" fillId="0" borderId="1" xfId="0" applyNumberForma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0" fillId="6" borderId="1" xfId="0" applyFill="1" applyBorder="1"/>
    <xf numFmtId="10" fontId="0" fillId="6" borderId="1" xfId="0" applyNumberFormat="1" applyFill="1" applyBorder="1"/>
    <xf numFmtId="0" fontId="3" fillId="6" borderId="1" xfId="0" applyFont="1" applyFill="1" applyBorder="1"/>
    <xf numFmtId="9" fontId="0" fillId="6" borderId="1" xfId="0" applyNumberFormat="1" applyFill="1" applyBorder="1"/>
    <xf numFmtId="0" fontId="0" fillId="7" borderId="1" xfId="0" applyFill="1" applyBorder="1"/>
    <xf numFmtId="167" fontId="0" fillId="7" borderId="1" xfId="1" applyNumberFormat="1" applyFont="1" applyFill="1" applyBorder="1"/>
    <xf numFmtId="167" fontId="1" fillId="3" borderId="1" xfId="1" applyNumberFormat="1" applyFont="1" applyFill="1" applyBorder="1"/>
    <xf numFmtId="10" fontId="1" fillId="3" borderId="1" xfId="1" applyNumberFormat="1" applyFont="1" applyFill="1" applyBorder="1"/>
    <xf numFmtId="2" fontId="0" fillId="0" borderId="0" xfId="0" applyNumberFormat="1"/>
    <xf numFmtId="168" fontId="0" fillId="0" borderId="0" xfId="0" applyNumberFormat="1"/>
    <xf numFmtId="10" fontId="0" fillId="0" borderId="1" xfId="0" applyNumberFormat="1" applyBorder="1"/>
    <xf numFmtId="0" fontId="1" fillId="0" borderId="1" xfId="0" applyFont="1" applyBorder="1"/>
    <xf numFmtId="9" fontId="0" fillId="0" borderId="1" xfId="0" applyNumberFormat="1" applyBorder="1"/>
    <xf numFmtId="10" fontId="0" fillId="0" borderId="1" xfId="1" applyNumberFormat="1" applyFont="1" applyBorder="1"/>
    <xf numFmtId="0" fontId="0" fillId="8" borderId="1" xfId="0" applyFill="1" applyBorder="1"/>
    <xf numFmtId="0" fontId="1" fillId="7" borderId="1" xfId="0" applyFont="1" applyFill="1" applyBorder="1" applyAlignment="1">
      <alignment horizontal="center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1" fillId="7" borderId="0" xfId="0" applyFont="1" applyFill="1" applyBorder="1" applyAlignment="1">
      <alignment horizontal="center"/>
    </xf>
    <xf numFmtId="166" fontId="0" fillId="0" borderId="0" xfId="0" applyNumberFormat="1" applyBorder="1"/>
    <xf numFmtId="165" fontId="0" fillId="0" borderId="0" xfId="0" applyNumberFormat="1" applyBorder="1"/>
    <xf numFmtId="9" fontId="0" fillId="0" borderId="0" xfId="1" applyFont="1"/>
    <xf numFmtId="164" fontId="1" fillId="3" borderId="1" xfId="2" applyFont="1" applyFill="1" applyBorder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Escenarios de ingresos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3575862246512228E-2"/>
          <c:y val="0.15319444444444447"/>
          <c:w val="0.7973114174605121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Pesimista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Enunciado!$B$8:$D$8</c:f>
              <c:numCache>
                <c:formatCode>General</c:formatCode>
                <c:ptCount val="3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6-4C0C-857D-83442719663E}"/>
            </c:ext>
          </c:extLst>
        </c:ser>
        <c:ser>
          <c:idx val="1"/>
          <c:order val="1"/>
          <c:tx>
            <c:v>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Enunciado!$B$9:$D$9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6-4C0C-857D-83442719663E}"/>
            </c:ext>
          </c:extLst>
        </c:ser>
        <c:ser>
          <c:idx val="2"/>
          <c:order val="2"/>
          <c:tx>
            <c:v>Optimista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Enunciado!$B$10:$D$10</c:f>
              <c:numCache>
                <c:formatCode>General</c:formatCode>
                <c:ptCount val="3"/>
                <c:pt idx="0">
                  <c:v>600</c:v>
                </c:pt>
                <c:pt idx="1">
                  <c:v>900</c:v>
                </c:pt>
                <c:pt idx="2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6-4C0C-857D-83442719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869072"/>
        <c:axId val="274868240"/>
      </c:lineChart>
      <c:catAx>
        <c:axId val="27486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4868240"/>
        <c:crosses val="autoZero"/>
        <c:auto val="1"/>
        <c:lblAlgn val="ctr"/>
        <c:lblOffset val="100"/>
        <c:noMultiLvlLbl val="0"/>
      </c:catAx>
      <c:valAx>
        <c:axId val="2748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48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00024232155533"/>
          <c:y val="0.27190871974336539"/>
          <c:w val="0.16012191109402057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338136</xdr:colOff>
      <xdr:row>6</xdr:row>
      <xdr:rowOff>14287</xdr:rowOff>
    </xdr:from>
    <xdr:to>
      <xdr:col>12</xdr:col>
      <xdr:colOff>228599</xdr:colOff>
      <xdr:row>20</xdr:row>
      <xdr:rowOff>90487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6"/>
  <sheetViews>
    <sheetView topLeftCell="A13" zoomScale="110" zoomScaleNormal="110" workbookViewId="0">
      <selection activeCell="A25" sqref="A25"/>
    </sheetView>
  </sheetViews>
  <sheetFormatPr baseColWidth="10" defaultRowHeight="15" x14ac:dyDescent="0.25"/>
  <sheetData>
    <row r="3" spans="1:4" x14ac:dyDescent="0.25">
      <c r="A3" t="s">
        <v>24</v>
      </c>
    </row>
    <row r="4" spans="1:4" x14ac:dyDescent="0.25">
      <c r="A4" t="s">
        <v>25</v>
      </c>
    </row>
    <row r="7" spans="1:4" x14ac:dyDescent="0.25">
      <c r="A7" s="2" t="s">
        <v>0</v>
      </c>
      <c r="B7" s="2">
        <v>1</v>
      </c>
      <c r="C7" s="2">
        <v>2</v>
      </c>
      <c r="D7" s="2">
        <v>3</v>
      </c>
    </row>
    <row r="8" spans="1:4" x14ac:dyDescent="0.25">
      <c r="A8" s="1" t="s">
        <v>26</v>
      </c>
      <c r="B8" s="1">
        <v>600</v>
      </c>
      <c r="C8" s="1">
        <v>700</v>
      </c>
      <c r="D8" s="1">
        <v>800</v>
      </c>
    </row>
    <row r="9" spans="1:4" x14ac:dyDescent="0.25">
      <c r="A9" s="1" t="s">
        <v>27</v>
      </c>
      <c r="B9" s="1">
        <v>600</v>
      </c>
      <c r="C9" s="1">
        <v>800</v>
      </c>
      <c r="D9" s="1">
        <v>1000</v>
      </c>
    </row>
    <row r="10" spans="1:4" x14ac:dyDescent="0.25">
      <c r="A10" s="1" t="s">
        <v>28</v>
      </c>
      <c r="B10" s="1">
        <v>600</v>
      </c>
      <c r="C10" s="1">
        <v>900</v>
      </c>
      <c r="D10" s="1">
        <v>1200</v>
      </c>
    </row>
    <row r="13" spans="1:4" x14ac:dyDescent="0.25">
      <c r="A13" t="s">
        <v>29</v>
      </c>
    </row>
    <row r="15" spans="1:4" x14ac:dyDescent="0.25">
      <c r="A15" s="1" t="s">
        <v>30</v>
      </c>
      <c r="B15" s="1" t="s">
        <v>3</v>
      </c>
    </row>
    <row r="16" spans="1:4" x14ac:dyDescent="0.25">
      <c r="A16" s="1">
        <v>1</v>
      </c>
      <c r="B16" s="1">
        <v>100</v>
      </c>
    </row>
    <row r="17" spans="1:2" x14ac:dyDescent="0.25">
      <c r="A17" s="1">
        <v>2</v>
      </c>
      <c r="B17" s="1">
        <v>200</v>
      </c>
    </row>
    <row r="18" spans="1:2" x14ac:dyDescent="0.25">
      <c r="A18" s="1">
        <v>3</v>
      </c>
      <c r="B18" s="1">
        <v>200</v>
      </c>
    </row>
    <row r="23" spans="1:2" x14ac:dyDescent="0.25">
      <c r="A23" t="s">
        <v>33</v>
      </c>
    </row>
    <row r="25" spans="1:2" x14ac:dyDescent="0.25">
      <c r="A25" t="s">
        <v>31</v>
      </c>
    </row>
    <row r="26" spans="1:2" x14ac:dyDescent="0.25">
      <c r="A26" t="s">
        <v>32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tabSelected="1" zoomScale="60" zoomScaleNormal="60" workbookViewId="0">
      <selection activeCell="L23" sqref="L23"/>
    </sheetView>
  </sheetViews>
  <sheetFormatPr baseColWidth="10" defaultRowHeight="15" x14ac:dyDescent="0.25"/>
  <cols>
    <col min="1" max="1" width="2" customWidth="1"/>
    <col min="2" max="2" width="12.7109375" customWidth="1"/>
    <col min="4" max="4" width="12.28515625" customWidth="1"/>
    <col min="5" max="5" width="12" bestFit="1" customWidth="1"/>
    <col min="6" max="6" width="12.5703125" customWidth="1"/>
    <col min="7" max="7" width="5.5703125" customWidth="1"/>
    <col min="8" max="8" width="11.42578125" customWidth="1"/>
    <col min="9" max="9" width="8.85546875" customWidth="1"/>
    <col min="10" max="10" width="8.7109375" customWidth="1"/>
    <col min="11" max="13" width="9.28515625" customWidth="1"/>
  </cols>
  <sheetData>
    <row r="1" spans="2:13" x14ac:dyDescent="0.25">
      <c r="C1" s="16"/>
    </row>
    <row r="2" spans="2:13" x14ac:dyDescent="0.25">
      <c r="B2" t="s">
        <v>35</v>
      </c>
      <c r="C2" s="16">
        <f>+Tasas!D8</f>
        <v>9.9979999999999986E-2</v>
      </c>
    </row>
    <row r="3" spans="2:13" ht="15.75" thickBot="1" x14ac:dyDescent="0.3">
      <c r="B3" s="10" t="s">
        <v>23</v>
      </c>
      <c r="H3" s="10" t="s">
        <v>16</v>
      </c>
    </row>
    <row r="4" spans="2:13" x14ac:dyDescent="0.25">
      <c r="B4" s="18" t="s">
        <v>2</v>
      </c>
      <c r="C4" s="18">
        <v>0</v>
      </c>
      <c r="D4" s="18">
        <v>1</v>
      </c>
      <c r="E4" s="18">
        <v>2</v>
      </c>
      <c r="F4" s="18">
        <v>3</v>
      </c>
      <c r="H4" s="44" t="s">
        <v>73</v>
      </c>
      <c r="I4" s="45" t="s">
        <v>11</v>
      </c>
      <c r="J4" s="45" t="s">
        <v>17</v>
      </c>
      <c r="K4" s="45" t="s">
        <v>18</v>
      </c>
      <c r="L4" s="46" t="s">
        <v>19</v>
      </c>
    </row>
    <row r="5" spans="2:13" x14ac:dyDescent="0.25">
      <c r="B5" s="2" t="s">
        <v>1</v>
      </c>
      <c r="C5" s="2">
        <v>-1240</v>
      </c>
      <c r="D5" s="2"/>
      <c r="E5" s="2"/>
      <c r="F5" s="2">
        <v>40</v>
      </c>
      <c r="H5" s="47">
        <v>0</v>
      </c>
      <c r="I5" s="1">
        <v>1240</v>
      </c>
      <c r="J5" s="1">
        <v>0</v>
      </c>
      <c r="K5" s="1">
        <v>0</v>
      </c>
      <c r="L5" s="48">
        <v>1240</v>
      </c>
      <c r="M5" s="52"/>
    </row>
    <row r="6" spans="2:13" x14ac:dyDescent="0.25">
      <c r="B6" s="12" t="s">
        <v>0</v>
      </c>
      <c r="C6" s="12">
        <v>0</v>
      </c>
      <c r="D6" s="12">
        <f>+D21</f>
        <v>600</v>
      </c>
      <c r="E6" s="12">
        <f t="shared" ref="E6:F6" si="0">+E21</f>
        <v>700</v>
      </c>
      <c r="F6" s="12">
        <f t="shared" si="0"/>
        <v>800</v>
      </c>
      <c r="H6" s="47">
        <v>1</v>
      </c>
      <c r="I6" s="1"/>
      <c r="J6" s="1">
        <f>+(I5-40)/3</f>
        <v>400</v>
      </c>
      <c r="K6" s="1">
        <f>+J6+K5</f>
        <v>400</v>
      </c>
      <c r="L6" s="48">
        <f>1240-K6</f>
        <v>840</v>
      </c>
      <c r="M6" s="52"/>
    </row>
    <row r="7" spans="2:13" x14ac:dyDescent="0.25">
      <c r="B7" s="12" t="s">
        <v>3</v>
      </c>
      <c r="C7" s="12">
        <v>0</v>
      </c>
      <c r="D7" s="12">
        <v>-100</v>
      </c>
      <c r="E7" s="12">
        <v>-200</v>
      </c>
      <c r="F7" s="12">
        <v>-200</v>
      </c>
      <c r="H7" s="47">
        <v>2</v>
      </c>
      <c r="I7" s="1"/>
      <c r="J7" s="1">
        <f>+J6</f>
        <v>400</v>
      </c>
      <c r="K7" s="1">
        <f t="shared" ref="K7:K8" si="1">+J7+K6</f>
        <v>800</v>
      </c>
      <c r="L7" s="48">
        <f t="shared" ref="L7:L8" si="2">1240-K7</f>
        <v>440</v>
      </c>
      <c r="M7" s="52"/>
    </row>
    <row r="8" spans="2:13" ht="15.75" thickBot="1" x14ac:dyDescent="0.3">
      <c r="B8" s="12" t="s">
        <v>4</v>
      </c>
      <c r="C8" s="12">
        <v>0</v>
      </c>
      <c r="D8" s="12">
        <f>-J6</f>
        <v>-400</v>
      </c>
      <c r="E8" s="12">
        <f>-J7</f>
        <v>-400</v>
      </c>
      <c r="F8" s="12">
        <f>-J8</f>
        <v>-400</v>
      </c>
      <c r="H8" s="49">
        <v>3</v>
      </c>
      <c r="I8" s="50"/>
      <c r="J8" s="50">
        <f>+J7</f>
        <v>400</v>
      </c>
      <c r="K8" s="50">
        <f t="shared" si="1"/>
        <v>1200</v>
      </c>
      <c r="L8" s="51">
        <f t="shared" si="2"/>
        <v>40</v>
      </c>
      <c r="M8" s="52"/>
    </row>
    <row r="9" spans="2:13" x14ac:dyDescent="0.25">
      <c r="B9" s="12" t="s">
        <v>5</v>
      </c>
      <c r="C9" s="12">
        <v>0</v>
      </c>
      <c r="D9" s="12">
        <f>+D6+D7+D8</f>
        <v>100</v>
      </c>
      <c r="E9" s="12">
        <f t="shared" ref="E9:F9" si="3">+E6+E7+E8</f>
        <v>100</v>
      </c>
      <c r="F9" s="12">
        <f t="shared" si="3"/>
        <v>200</v>
      </c>
    </row>
    <row r="10" spans="2:13" x14ac:dyDescent="0.25">
      <c r="B10" s="12" t="s">
        <v>6</v>
      </c>
      <c r="C10" s="12">
        <v>0</v>
      </c>
      <c r="D10" s="12">
        <v>0</v>
      </c>
      <c r="E10" s="12">
        <v>0</v>
      </c>
      <c r="F10" s="12">
        <v>0</v>
      </c>
    </row>
    <row r="11" spans="2:13" x14ac:dyDescent="0.25">
      <c r="B11" s="12" t="s">
        <v>7</v>
      </c>
      <c r="C11" s="12">
        <v>0</v>
      </c>
      <c r="D11" s="12">
        <f>+D9+D10</f>
        <v>100</v>
      </c>
      <c r="E11" s="12">
        <f t="shared" ref="E11:F11" si="4">+E9+E10</f>
        <v>100</v>
      </c>
      <c r="F11" s="12">
        <f t="shared" si="4"/>
        <v>200</v>
      </c>
    </row>
    <row r="12" spans="2:13" x14ac:dyDescent="0.25">
      <c r="B12" s="12" t="s">
        <v>74</v>
      </c>
      <c r="C12" s="12">
        <v>0</v>
      </c>
      <c r="D12" s="12">
        <f>-0.3*D11</f>
        <v>-30</v>
      </c>
      <c r="E12" s="12">
        <f>-0.3*E11</f>
        <v>-30</v>
      </c>
      <c r="F12" s="12">
        <f>-0.3*F11</f>
        <v>-60</v>
      </c>
    </row>
    <row r="13" spans="2:13" x14ac:dyDescent="0.25">
      <c r="B13" s="5" t="s">
        <v>8</v>
      </c>
      <c r="C13" s="5">
        <v>0</v>
      </c>
      <c r="D13" s="5">
        <f>+D11+D12</f>
        <v>70</v>
      </c>
      <c r="E13" s="5">
        <f>+E11+E12</f>
        <v>70</v>
      </c>
      <c r="F13" s="5">
        <f>+F11+F12</f>
        <v>140</v>
      </c>
    </row>
    <row r="14" spans="2:13" x14ac:dyDescent="0.25">
      <c r="B14" s="19" t="s">
        <v>9</v>
      </c>
      <c r="C14" s="19">
        <f t="shared" ref="C14:E14" si="5">+C13-C8+C5</f>
        <v>-1240</v>
      </c>
      <c r="D14" s="19">
        <f t="shared" si="5"/>
        <v>470</v>
      </c>
      <c r="E14" s="19">
        <f t="shared" si="5"/>
        <v>470</v>
      </c>
      <c r="F14" s="19">
        <f>+F13-F8+F5</f>
        <v>580</v>
      </c>
    </row>
    <row r="16" spans="2:13" x14ac:dyDescent="0.25">
      <c r="B16" t="s">
        <v>10</v>
      </c>
      <c r="C16" s="4">
        <f>+D16+E16+F16</f>
        <v>1251.5107274341306</v>
      </c>
      <c r="D16" s="4">
        <f>D14/(1+C2)</f>
        <v>427.28049600901835</v>
      </c>
      <c r="E16" s="4">
        <f>E14/(1+C2)^2</f>
        <v>388.44387716960165</v>
      </c>
      <c r="F16" s="4">
        <f>F14/(1+C2)^3</f>
        <v>435.7863542555105</v>
      </c>
    </row>
    <row r="17" spans="2:9" x14ac:dyDescent="0.25">
      <c r="B17" t="s">
        <v>75</v>
      </c>
      <c r="C17" s="4">
        <f>+C16+C14</f>
        <v>11.510727434130558</v>
      </c>
    </row>
    <row r="18" spans="2:9" x14ac:dyDescent="0.25">
      <c r="B18" t="s">
        <v>20</v>
      </c>
      <c r="C18" s="11">
        <f>+C17/-C14</f>
        <v>9.2828447049439992E-3</v>
      </c>
    </row>
    <row r="19" spans="2:9" x14ac:dyDescent="0.25">
      <c r="C19" s="11"/>
    </row>
    <row r="20" spans="2:9" ht="15.75" thickBot="1" x14ac:dyDescent="0.3">
      <c r="C20" s="1" t="s">
        <v>0</v>
      </c>
      <c r="D20" s="1">
        <v>1</v>
      </c>
      <c r="E20" s="1">
        <v>2</v>
      </c>
      <c r="F20" s="1">
        <v>3</v>
      </c>
      <c r="H20" s="40" t="s">
        <v>10</v>
      </c>
    </row>
    <row r="21" spans="2:9" x14ac:dyDescent="0.25">
      <c r="C21" s="1" t="s">
        <v>26</v>
      </c>
      <c r="D21" s="1">
        <v>600</v>
      </c>
      <c r="E21" s="1">
        <v>700</v>
      </c>
      <c r="F21" s="1">
        <v>800</v>
      </c>
      <c r="H21" s="41">
        <v>1323.2</v>
      </c>
      <c r="I21" s="37"/>
    </row>
    <row r="22" spans="2:9" x14ac:dyDescent="0.25">
      <c r="C22" s="1" t="s">
        <v>27</v>
      </c>
      <c r="D22" s="1">
        <v>600</v>
      </c>
      <c r="E22" s="1">
        <v>800</v>
      </c>
      <c r="F22" s="1">
        <v>1000</v>
      </c>
      <c r="H22" s="42">
        <v>1498.6</v>
      </c>
      <c r="I22" s="38"/>
    </row>
    <row r="23" spans="2:9" ht="15.75" thickBot="1" x14ac:dyDescent="0.3">
      <c r="C23" s="1" t="s">
        <v>28</v>
      </c>
      <c r="D23" s="1">
        <v>600</v>
      </c>
      <c r="E23" s="1">
        <v>900</v>
      </c>
      <c r="F23" s="1">
        <v>1200</v>
      </c>
      <c r="H23" s="43">
        <v>1674.1</v>
      </c>
      <c r="I23" s="39"/>
    </row>
    <row r="24" spans="2:9" x14ac:dyDescent="0.25">
      <c r="C24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zoomScale="90" zoomScaleNormal="90" workbookViewId="0">
      <selection activeCell="F32" sqref="F32"/>
    </sheetView>
  </sheetViews>
  <sheetFormatPr baseColWidth="10" defaultRowHeight="15" x14ac:dyDescent="0.25"/>
  <cols>
    <col min="1" max="1" width="1.85546875" customWidth="1"/>
    <col min="2" max="2" width="12" customWidth="1"/>
    <col min="10" max="10" width="11.5703125" bestFit="1" customWidth="1"/>
    <col min="11" max="11" width="12.5703125" bestFit="1" customWidth="1"/>
    <col min="12" max="12" width="11.5703125" bestFit="1" customWidth="1"/>
    <col min="13" max="14" width="11.5703125" customWidth="1"/>
  </cols>
  <sheetData>
    <row r="1" spans="2:13" x14ac:dyDescent="0.25">
      <c r="C1" s="3"/>
    </row>
    <row r="2" spans="2:13" x14ac:dyDescent="0.25">
      <c r="B2" t="s">
        <v>35</v>
      </c>
      <c r="C2" s="13">
        <v>0.1</v>
      </c>
      <c r="H2" s="10" t="s">
        <v>34</v>
      </c>
    </row>
    <row r="3" spans="2:13" x14ac:dyDescent="0.25">
      <c r="B3" s="10" t="s">
        <v>22</v>
      </c>
      <c r="H3" s="10" t="s">
        <v>15</v>
      </c>
      <c r="I3">
        <f>+C6</f>
        <v>1000</v>
      </c>
      <c r="J3" s="56">
        <f>+I3/-C5</f>
        <v>0.80645161290322576</v>
      </c>
    </row>
    <row r="4" spans="2:13" x14ac:dyDescent="0.25">
      <c r="B4" s="20" t="s">
        <v>2</v>
      </c>
      <c r="C4" s="20">
        <v>0</v>
      </c>
      <c r="D4" s="20">
        <v>1</v>
      </c>
      <c r="E4" s="20">
        <v>2</v>
      </c>
      <c r="F4" s="20">
        <v>3</v>
      </c>
      <c r="H4" s="10" t="s">
        <v>12</v>
      </c>
      <c r="I4" s="13">
        <v>0.08</v>
      </c>
    </row>
    <row r="5" spans="2:13" x14ac:dyDescent="0.25">
      <c r="B5" s="2" t="s">
        <v>1</v>
      </c>
      <c r="C5" s="2">
        <v>-1240</v>
      </c>
      <c r="D5" s="2"/>
      <c r="E5" s="2"/>
      <c r="F5" s="2">
        <v>40</v>
      </c>
      <c r="H5" s="36"/>
      <c r="I5" s="36" t="s">
        <v>11</v>
      </c>
      <c r="J5" s="36" t="s">
        <v>12</v>
      </c>
      <c r="K5" s="36" t="s">
        <v>13</v>
      </c>
      <c r="L5" s="36" t="s">
        <v>14</v>
      </c>
      <c r="M5" s="53"/>
    </row>
    <row r="6" spans="2:13" x14ac:dyDescent="0.25">
      <c r="B6" s="2" t="s">
        <v>15</v>
      </c>
      <c r="C6" s="2">
        <v>1000</v>
      </c>
      <c r="D6" s="7">
        <f>-K7</f>
        <v>0</v>
      </c>
      <c r="E6" s="7">
        <f>-K8</f>
        <v>0</v>
      </c>
      <c r="F6" s="7">
        <f>-K9</f>
        <v>-1000</v>
      </c>
      <c r="H6" s="1">
        <v>0</v>
      </c>
      <c r="I6" s="1">
        <f>+I3</f>
        <v>1000</v>
      </c>
      <c r="J6" s="1"/>
      <c r="K6" s="1"/>
      <c r="L6" s="1"/>
      <c r="M6" s="52"/>
    </row>
    <row r="7" spans="2:13" x14ac:dyDescent="0.25">
      <c r="B7" s="12" t="s">
        <v>0</v>
      </c>
      <c r="C7" s="12">
        <v>0</v>
      </c>
      <c r="D7" s="12">
        <f>+D23</f>
        <v>600</v>
      </c>
      <c r="E7" s="12">
        <f t="shared" ref="E7:F7" si="0">+E23</f>
        <v>700</v>
      </c>
      <c r="F7" s="12">
        <f t="shared" si="0"/>
        <v>800</v>
      </c>
      <c r="H7" s="1">
        <v>1</v>
      </c>
      <c r="I7" s="6"/>
      <c r="J7" s="6">
        <f>+I6*I4</f>
        <v>80</v>
      </c>
      <c r="K7" s="6">
        <v>0</v>
      </c>
      <c r="L7" s="6">
        <f>+K7+J7</f>
        <v>80</v>
      </c>
      <c r="M7" s="54"/>
    </row>
    <row r="8" spans="2:13" x14ac:dyDescent="0.25">
      <c r="B8" s="12" t="s">
        <v>3</v>
      </c>
      <c r="C8" s="12">
        <v>0</v>
      </c>
      <c r="D8" s="12">
        <v>-100</v>
      </c>
      <c r="E8" s="12">
        <v>-200</v>
      </c>
      <c r="F8" s="12">
        <v>-200</v>
      </c>
      <c r="H8" s="1">
        <v>2</v>
      </c>
      <c r="I8" s="6"/>
      <c r="J8" s="6">
        <f>+J7</f>
        <v>80</v>
      </c>
      <c r="K8" s="6">
        <v>0</v>
      </c>
      <c r="L8" s="6">
        <f t="shared" ref="L8:L9" si="1">+K8+J8</f>
        <v>80</v>
      </c>
      <c r="M8" s="54"/>
    </row>
    <row r="9" spans="2:13" x14ac:dyDescent="0.25">
      <c r="B9" s="12" t="s">
        <v>21</v>
      </c>
      <c r="C9" s="12">
        <v>0</v>
      </c>
      <c r="D9" s="14">
        <f>+D7+D8</f>
        <v>500</v>
      </c>
      <c r="E9" s="14">
        <f t="shared" ref="E9:F9" si="2">+E7+E8</f>
        <v>500</v>
      </c>
      <c r="F9" s="14">
        <f t="shared" si="2"/>
        <v>600</v>
      </c>
      <c r="H9" s="1">
        <v>3</v>
      </c>
      <c r="I9" s="6"/>
      <c r="J9" s="6">
        <f>+J8</f>
        <v>80</v>
      </c>
      <c r="K9" s="6">
        <f>+I3</f>
        <v>1000</v>
      </c>
      <c r="L9" s="6">
        <f t="shared" si="1"/>
        <v>1080</v>
      </c>
      <c r="M9" s="54"/>
    </row>
    <row r="10" spans="2:13" x14ac:dyDescent="0.25">
      <c r="B10" s="12" t="s">
        <v>4</v>
      </c>
      <c r="C10" s="12">
        <v>0</v>
      </c>
      <c r="D10" s="14">
        <f>-J14</f>
        <v>-400</v>
      </c>
      <c r="E10" s="14">
        <f>-J15</f>
        <v>-400</v>
      </c>
      <c r="F10" s="14">
        <f>-J16</f>
        <v>-400</v>
      </c>
    </row>
    <row r="11" spans="2:13" x14ac:dyDescent="0.25">
      <c r="B11" s="12" t="s">
        <v>5</v>
      </c>
      <c r="C11" s="12">
        <v>0</v>
      </c>
      <c r="D11" s="14">
        <f>+D9+D10</f>
        <v>100</v>
      </c>
      <c r="E11" s="14">
        <f t="shared" ref="E11:F11" si="3">+E9+E10</f>
        <v>100</v>
      </c>
      <c r="F11" s="14">
        <f t="shared" si="3"/>
        <v>200</v>
      </c>
      <c r="H11" s="10" t="s">
        <v>16</v>
      </c>
    </row>
    <row r="12" spans="2:13" x14ac:dyDescent="0.25">
      <c r="B12" s="12" t="s">
        <v>77</v>
      </c>
      <c r="C12" s="12">
        <v>0</v>
      </c>
      <c r="D12" s="15">
        <f>-J7</f>
        <v>-80</v>
      </c>
      <c r="E12" s="15">
        <f>-J8</f>
        <v>-80</v>
      </c>
      <c r="F12" s="15">
        <f>-J9</f>
        <v>-80</v>
      </c>
      <c r="H12" s="36"/>
      <c r="I12" s="36" t="s">
        <v>11</v>
      </c>
      <c r="J12" s="36" t="s">
        <v>17</v>
      </c>
      <c r="K12" s="36" t="s">
        <v>18</v>
      </c>
      <c r="L12" s="36" t="s">
        <v>19</v>
      </c>
      <c r="M12" s="53"/>
    </row>
    <row r="13" spans="2:13" x14ac:dyDescent="0.25">
      <c r="B13" s="12" t="s">
        <v>7</v>
      </c>
      <c r="C13" s="12">
        <v>0</v>
      </c>
      <c r="D13" s="14">
        <f>+D11+D12</f>
        <v>20</v>
      </c>
      <c r="E13" s="14">
        <f t="shared" ref="E13:F13" si="4">+E11+E12</f>
        <v>20</v>
      </c>
      <c r="F13" s="14">
        <f t="shared" si="4"/>
        <v>120</v>
      </c>
      <c r="H13" s="1">
        <v>0</v>
      </c>
      <c r="I13" s="1">
        <v>1240</v>
      </c>
      <c r="J13" s="1">
        <v>0</v>
      </c>
      <c r="K13" s="1">
        <v>0</v>
      </c>
      <c r="L13" s="1">
        <v>0</v>
      </c>
      <c r="M13" s="52"/>
    </row>
    <row r="14" spans="2:13" x14ac:dyDescent="0.25">
      <c r="B14" s="12" t="s">
        <v>74</v>
      </c>
      <c r="C14" s="12">
        <v>0</v>
      </c>
      <c r="D14" s="14">
        <f>IF(D13&lt;=0,0,-D13*0.3)</f>
        <v>-6</v>
      </c>
      <c r="E14" s="14">
        <f t="shared" ref="E14:F14" si="5">IF(E13&lt;=0,0,-E13*0.3)</f>
        <v>-6</v>
      </c>
      <c r="F14" s="14">
        <f t="shared" si="5"/>
        <v>-36</v>
      </c>
      <c r="H14" s="1">
        <v>1</v>
      </c>
      <c r="I14" s="1"/>
      <c r="J14" s="17">
        <f>+(I13-40)/3</f>
        <v>400</v>
      </c>
      <c r="K14" s="17">
        <f>+J14+K13</f>
        <v>400</v>
      </c>
      <c r="L14" s="17">
        <f>1240-K14</f>
        <v>840</v>
      </c>
      <c r="M14" s="55"/>
    </row>
    <row r="15" spans="2:13" x14ac:dyDescent="0.25">
      <c r="B15" s="5" t="s">
        <v>8</v>
      </c>
      <c r="C15" s="5">
        <v>0</v>
      </c>
      <c r="D15" s="8">
        <f>+D13+D14</f>
        <v>14</v>
      </c>
      <c r="E15" s="8">
        <f t="shared" ref="E15:F15" si="6">+E13+E14</f>
        <v>14</v>
      </c>
      <c r="F15" s="8">
        <f t="shared" si="6"/>
        <v>84</v>
      </c>
      <c r="H15" s="1">
        <v>2</v>
      </c>
      <c r="I15" s="1"/>
      <c r="J15" s="17">
        <f>+J14</f>
        <v>400</v>
      </c>
      <c r="K15" s="17">
        <f>+J15+K14</f>
        <v>800</v>
      </c>
      <c r="L15" s="17">
        <f>1240-K15</f>
        <v>440</v>
      </c>
      <c r="M15" s="55"/>
    </row>
    <row r="16" spans="2:13" x14ac:dyDescent="0.25">
      <c r="B16" s="5" t="s">
        <v>9</v>
      </c>
      <c r="C16" s="57">
        <f t="shared" ref="C16:E16" si="7">+C15-C10+C6+C5</f>
        <v>-240</v>
      </c>
      <c r="D16" s="57">
        <f>+D15-D10+D6+D5</f>
        <v>414</v>
      </c>
      <c r="E16" s="57">
        <f t="shared" si="7"/>
        <v>414</v>
      </c>
      <c r="F16" s="57">
        <f>+F15-F10+F6+F5</f>
        <v>-476</v>
      </c>
      <c r="H16" s="1">
        <v>3</v>
      </c>
      <c r="I16" s="1"/>
      <c r="J16" s="17">
        <f>+J15</f>
        <v>400</v>
      </c>
      <c r="K16" s="17">
        <f>+J16+K15</f>
        <v>1200</v>
      </c>
      <c r="L16" s="17">
        <f>1240-K16</f>
        <v>40</v>
      </c>
      <c r="M16" s="55"/>
    </row>
    <row r="18" spans="2:6" x14ac:dyDescent="0.25">
      <c r="B18" s="9" t="s">
        <v>10</v>
      </c>
      <c r="C18" s="4">
        <f>+D18+E18+F18</f>
        <v>360.88655146506386</v>
      </c>
      <c r="D18" s="4">
        <f>D16/(1+C2)</f>
        <v>376.36363636363632</v>
      </c>
      <c r="E18" s="4">
        <f>E16/(1+C2)^2</f>
        <v>342.14876033057845</v>
      </c>
      <c r="F18" s="4">
        <f>F16/(1+C2)^3</f>
        <v>-357.62584522915091</v>
      </c>
    </row>
    <row r="19" spans="2:6" x14ac:dyDescent="0.25">
      <c r="B19" s="9" t="s">
        <v>78</v>
      </c>
      <c r="C19" s="4">
        <f>+C18+C16</f>
        <v>120.88655146506386</v>
      </c>
    </row>
    <row r="20" spans="2:6" x14ac:dyDescent="0.25">
      <c r="B20" s="9" t="s">
        <v>20</v>
      </c>
      <c r="C20" s="11">
        <f>+C19/-C16</f>
        <v>0.50369396443776604</v>
      </c>
    </row>
    <row r="22" spans="2:6" x14ac:dyDescent="0.25">
      <c r="C22" s="1" t="s">
        <v>0</v>
      </c>
      <c r="D22" s="1">
        <v>1</v>
      </c>
      <c r="E22" s="1">
        <v>2</v>
      </c>
      <c r="F22" s="1">
        <v>3</v>
      </c>
    </row>
    <row r="23" spans="2:6" x14ac:dyDescent="0.25">
      <c r="C23" s="1" t="s">
        <v>26</v>
      </c>
      <c r="D23" s="1">
        <v>600</v>
      </c>
      <c r="E23" s="1">
        <v>700</v>
      </c>
      <c r="F23" s="1">
        <v>800</v>
      </c>
    </row>
    <row r="24" spans="2:6" x14ac:dyDescent="0.25">
      <c r="C24" s="1" t="s">
        <v>27</v>
      </c>
      <c r="D24" s="1">
        <v>600</v>
      </c>
      <c r="E24" s="1">
        <v>800</v>
      </c>
      <c r="F24" s="1">
        <v>1000</v>
      </c>
    </row>
    <row r="25" spans="2:6" x14ac:dyDescent="0.25">
      <c r="C25" s="1" t="s">
        <v>28</v>
      </c>
      <c r="D25" s="1">
        <v>600</v>
      </c>
      <c r="E25" s="1">
        <v>900</v>
      </c>
      <c r="F25" s="1">
        <v>1200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8"/>
  <sheetViews>
    <sheetView topLeftCell="B1" zoomScale="140" zoomScaleNormal="140" workbookViewId="0">
      <selection activeCell="D8" sqref="D8"/>
    </sheetView>
  </sheetViews>
  <sheetFormatPr baseColWidth="10" defaultRowHeight="15" x14ac:dyDescent="0.25"/>
  <cols>
    <col min="2" max="2" width="27.42578125" customWidth="1"/>
  </cols>
  <sheetData>
    <row r="2" spans="2:12" x14ac:dyDescent="0.25">
      <c r="B2" s="10" t="s">
        <v>58</v>
      </c>
    </row>
    <row r="3" spans="2:12" x14ac:dyDescent="0.25">
      <c r="B3" s="21" t="s">
        <v>36</v>
      </c>
      <c r="C3" s="21" t="s">
        <v>37</v>
      </c>
      <c r="D3" s="22">
        <v>3.15E-2</v>
      </c>
    </row>
    <row r="4" spans="2:12" x14ac:dyDescent="0.25">
      <c r="B4" s="21" t="s">
        <v>38</v>
      </c>
      <c r="C4" s="21" t="s">
        <v>39</v>
      </c>
      <c r="D4" s="22">
        <v>3.0700000000000002E-2</v>
      </c>
    </row>
    <row r="5" spans="2:12" x14ac:dyDescent="0.25">
      <c r="B5" s="21" t="s">
        <v>40</v>
      </c>
      <c r="C5" s="23" t="s">
        <v>41</v>
      </c>
      <c r="D5" s="21">
        <v>1.4</v>
      </c>
    </row>
    <row r="6" spans="2:12" x14ac:dyDescent="0.25">
      <c r="B6" s="21" t="s">
        <v>42</v>
      </c>
      <c r="C6" s="23" t="s">
        <v>46</v>
      </c>
      <c r="D6" s="22">
        <v>2.5499999999999998E-2</v>
      </c>
    </row>
    <row r="7" spans="2:12" x14ac:dyDescent="0.25">
      <c r="B7" s="21" t="s">
        <v>43</v>
      </c>
      <c r="C7" s="21" t="s">
        <v>44</v>
      </c>
      <c r="D7" s="24">
        <v>0.3</v>
      </c>
    </row>
    <row r="8" spans="2:12" x14ac:dyDescent="0.25">
      <c r="B8" s="19" t="s">
        <v>45</v>
      </c>
      <c r="C8" s="19" t="s">
        <v>57</v>
      </c>
      <c r="D8" s="27">
        <f>+D3+D5*D4+D6</f>
        <v>9.9979999999999986E-2</v>
      </c>
      <c r="F8" s="13"/>
      <c r="G8" s="29"/>
    </row>
    <row r="9" spans="2:12" x14ac:dyDescent="0.25">
      <c r="B9" s="25" t="s">
        <v>76</v>
      </c>
      <c r="C9" s="25"/>
      <c r="D9" s="25"/>
      <c r="I9" s="29"/>
      <c r="J9" s="29"/>
      <c r="K9" s="29"/>
      <c r="L9" s="29"/>
    </row>
    <row r="10" spans="2:12" x14ac:dyDescent="0.25">
      <c r="B10" s="19" t="s">
        <v>47</v>
      </c>
      <c r="C10" s="19" t="s">
        <v>55</v>
      </c>
      <c r="D10" s="27">
        <f>+D11*(1-D7)</f>
        <v>6.3E-2</v>
      </c>
    </row>
    <row r="11" spans="2:12" x14ac:dyDescent="0.25">
      <c r="B11" s="25" t="s">
        <v>54</v>
      </c>
      <c r="C11" s="25" t="s">
        <v>56</v>
      </c>
      <c r="D11" s="26">
        <v>0.09</v>
      </c>
    </row>
    <row r="12" spans="2:12" x14ac:dyDescent="0.25">
      <c r="B12" s="19" t="s">
        <v>52</v>
      </c>
      <c r="C12" s="19" t="s">
        <v>53</v>
      </c>
      <c r="D12" s="28" t="e">
        <f>+D14*D8+D13*D10</f>
        <v>#REF!</v>
      </c>
    </row>
    <row r="13" spans="2:12" x14ac:dyDescent="0.25">
      <c r="B13" s="25" t="s">
        <v>48</v>
      </c>
      <c r="C13" s="25" t="s">
        <v>51</v>
      </c>
      <c r="D13" s="26" t="e">
        <f>+FCEF!#REF!</f>
        <v>#REF!</v>
      </c>
      <c r="F13" s="13"/>
      <c r="G13" s="29"/>
      <c r="I13" s="4"/>
      <c r="J13" s="4"/>
      <c r="K13" s="4"/>
    </row>
    <row r="14" spans="2:12" x14ac:dyDescent="0.25">
      <c r="B14" s="25" t="s">
        <v>49</v>
      </c>
      <c r="C14" s="25" t="s">
        <v>50</v>
      </c>
      <c r="D14" s="26" t="e">
        <f>+FCEF!#REF!</f>
        <v>#REF!</v>
      </c>
      <c r="I14" s="29"/>
      <c r="J14" s="29"/>
      <c r="K14" s="29"/>
      <c r="L14" s="29"/>
    </row>
    <row r="15" spans="2:12" x14ac:dyDescent="0.25">
      <c r="L15" s="29"/>
    </row>
    <row r="17" spans="6:12" x14ac:dyDescent="0.25">
      <c r="F17" s="16"/>
      <c r="I17" s="4"/>
      <c r="J17" s="4"/>
      <c r="K17" s="4"/>
    </row>
    <row r="18" spans="6:12" x14ac:dyDescent="0.25">
      <c r="I18" s="29"/>
      <c r="J18" s="29"/>
      <c r="K18" s="29"/>
      <c r="L18" s="2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zoomScale="110" zoomScaleNormal="110" workbookViewId="0">
      <selection activeCell="C1" sqref="C1"/>
    </sheetView>
  </sheetViews>
  <sheetFormatPr baseColWidth="10" defaultRowHeight="15" x14ac:dyDescent="0.25"/>
  <cols>
    <col min="1" max="1" width="21.42578125" customWidth="1"/>
    <col min="2" max="2" width="13.85546875" bestFit="1" customWidth="1"/>
    <col min="3" max="3" width="12.85546875" bestFit="1" customWidth="1"/>
    <col min="4" max="4" width="11.85546875" bestFit="1" customWidth="1"/>
  </cols>
  <sheetData>
    <row r="2" spans="1:4" x14ac:dyDescent="0.25">
      <c r="A2" t="s">
        <v>59</v>
      </c>
    </row>
    <row r="3" spans="1:4" x14ac:dyDescent="0.25">
      <c r="A3" s="35"/>
      <c r="B3" s="35" t="s">
        <v>65</v>
      </c>
      <c r="C3" s="35" t="s">
        <v>66</v>
      </c>
      <c r="D3" s="35" t="s">
        <v>67</v>
      </c>
    </row>
    <row r="4" spans="1:4" x14ac:dyDescent="0.25">
      <c r="A4" s="1" t="s">
        <v>36</v>
      </c>
      <c r="B4" s="31">
        <v>5.2600000000000001E-2</v>
      </c>
      <c r="C4" s="31">
        <v>3.2500000000000001E-2</v>
      </c>
      <c r="D4" s="31">
        <v>3.4099999999999998E-2</v>
      </c>
    </row>
    <row r="5" spans="1:4" x14ac:dyDescent="0.25">
      <c r="A5" s="1" t="s">
        <v>40</v>
      </c>
      <c r="B5" s="1">
        <v>1.2470000000000001</v>
      </c>
      <c r="C5" s="1">
        <v>1.07</v>
      </c>
      <c r="D5" s="1">
        <v>0.82</v>
      </c>
    </row>
    <row r="6" spans="1:4" x14ac:dyDescent="0.25">
      <c r="A6" s="1" t="s">
        <v>60</v>
      </c>
      <c r="B6" s="31">
        <v>6.4199999999999993E-2</v>
      </c>
      <c r="C6" s="31">
        <v>8.0199999999999994E-2</v>
      </c>
      <c r="D6" s="31">
        <v>6.5699999999999995E-2</v>
      </c>
    </row>
    <row r="7" spans="1:4" x14ac:dyDescent="0.25">
      <c r="A7" s="1" t="s">
        <v>42</v>
      </c>
      <c r="B7" s="31">
        <v>1.38E-2</v>
      </c>
      <c r="C7" s="31">
        <v>2.92E-2</v>
      </c>
      <c r="D7" s="31">
        <v>2.1600000000000001E-2</v>
      </c>
    </row>
    <row r="8" spans="1:4" x14ac:dyDescent="0.25">
      <c r="A8" s="32" t="s">
        <v>63</v>
      </c>
      <c r="B8" s="31">
        <f>+B4+B5*B6+B7</f>
        <v>0.14645740000000002</v>
      </c>
      <c r="C8" s="31">
        <f t="shared" ref="C8:D8" si="0">+C4+C5*C6+C7</f>
        <v>0.14751400000000001</v>
      </c>
      <c r="D8" s="31">
        <f t="shared" si="0"/>
        <v>0.109574</v>
      </c>
    </row>
    <row r="9" spans="1:4" x14ac:dyDescent="0.25">
      <c r="A9" s="1" t="s">
        <v>61</v>
      </c>
      <c r="B9" s="31">
        <v>6.88E-2</v>
      </c>
      <c r="C9" s="31">
        <v>7.3700000000000002E-2</v>
      </c>
      <c r="D9" s="31">
        <v>2.81E-2</v>
      </c>
    </row>
    <row r="10" spans="1:4" x14ac:dyDescent="0.25">
      <c r="A10" s="1" t="s">
        <v>62</v>
      </c>
      <c r="B10" s="31">
        <v>0.25900000000000001</v>
      </c>
      <c r="C10" s="33">
        <v>0.37</v>
      </c>
      <c r="D10" s="31">
        <v>0.33500000000000002</v>
      </c>
    </row>
    <row r="11" spans="1:4" x14ac:dyDescent="0.25">
      <c r="A11" s="32" t="s">
        <v>64</v>
      </c>
      <c r="B11" s="34">
        <f>+B9*(1-B10)</f>
        <v>5.09808E-2</v>
      </c>
      <c r="C11" s="34">
        <f>+C9*(1-C10)</f>
        <v>4.6431E-2</v>
      </c>
      <c r="D11" s="34">
        <f t="shared" ref="D11" si="1">+D9*(1-D10)</f>
        <v>1.8686500000000002E-2</v>
      </c>
    </row>
    <row r="12" spans="1:4" x14ac:dyDescent="0.25">
      <c r="A12" s="1" t="s">
        <v>48</v>
      </c>
      <c r="B12" s="31">
        <v>0.40500000000000003</v>
      </c>
      <c r="C12" s="33">
        <v>0.25</v>
      </c>
      <c r="D12" s="33">
        <v>0.61</v>
      </c>
    </row>
    <row r="13" spans="1:4" x14ac:dyDescent="0.25">
      <c r="A13" s="1" t="s">
        <v>49</v>
      </c>
      <c r="B13" s="31">
        <v>0.59499999999999997</v>
      </c>
      <c r="C13" s="33">
        <v>0.75</v>
      </c>
      <c r="D13" s="33">
        <v>0.39</v>
      </c>
    </row>
    <row r="14" spans="1:4" x14ac:dyDescent="0.25">
      <c r="A14" s="32" t="s">
        <v>53</v>
      </c>
      <c r="B14" s="31">
        <f>+B8*B13+B11*B12</f>
        <v>0.10778937700000001</v>
      </c>
      <c r="C14" s="31">
        <f t="shared" ref="C14:D14" si="2">+C8*C13+C11*C12</f>
        <v>0.12224325</v>
      </c>
      <c r="D14" s="31">
        <f t="shared" si="2"/>
        <v>5.4132625000000004E-2</v>
      </c>
    </row>
    <row r="16" spans="1:4" x14ac:dyDescent="0.25">
      <c r="B16" t="s">
        <v>68</v>
      </c>
      <c r="C16" t="s">
        <v>69</v>
      </c>
      <c r="D16" t="s">
        <v>70</v>
      </c>
    </row>
    <row r="18" spans="1:4" x14ac:dyDescent="0.25">
      <c r="B18" s="30"/>
      <c r="C18" s="30"/>
      <c r="D18" s="30"/>
    </row>
    <row r="19" spans="1:4" x14ac:dyDescent="0.25">
      <c r="A19" t="s">
        <v>71</v>
      </c>
    </row>
    <row r="21" spans="1:4" x14ac:dyDescent="0.25">
      <c r="A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Enunciado</vt:lpstr>
      <vt:lpstr>FCE</vt:lpstr>
      <vt:lpstr>FCEF</vt:lpstr>
      <vt:lpstr>Tasas</vt:lpstr>
      <vt:lpstr>Empresas reguladas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Salvador Jacome</dc:creator>
  <cp:lastModifiedBy>Julio Salvador Jacome</cp:lastModifiedBy>
  <dcterms:created xsi:type="dcterms:W3CDTF">2013-10-30T01:53:53Z</dcterms:created>
  <dcterms:modified xsi:type="dcterms:W3CDTF">2021-01-29T03:08:09Z</dcterms:modified>
</cp:coreProperties>
</file>